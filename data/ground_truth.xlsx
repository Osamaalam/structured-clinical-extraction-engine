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zanabasic/Desktop/"/>
    </mc:Choice>
  </mc:AlternateContent>
  <xr:revisionPtr revIDLastSave="0" documentId="13_ncr:1_{52BADED1-4BCB-544A-92F8-4AB39B660D59}" xr6:coauthVersionLast="47" xr6:coauthVersionMax="47" xr10:uidLastSave="{00000000-0000-0000-0000-000000000000}"/>
  <bookViews>
    <workbookView xWindow="8540" yWindow="880" windowWidth="28800" windowHeight="16160" activeTab="1" xr2:uid="{00000000-000D-0000-FFFF-FFFF00000000}"/>
  </bookViews>
  <sheets>
    <sheet name="ExpectedRows" sheetId="1" r:id="rId1"/>
    <sheet name="all_pdfs_outcome_measures" sheetId="4" r:id="rId2"/>
    <sheet name="Instructions" sheetId="2" r:id="rId3"/>
    <sheet name="ValueOptions" sheetId="3" r:id="rId4"/>
  </sheets>
  <calcPr calcId="0"/>
</workbook>
</file>

<file path=xl/sharedStrings.xml><?xml version="1.0" encoding="utf-8"?>
<sst xmlns="http://schemas.openxmlformats.org/spreadsheetml/2006/main" count="683" uniqueCount="310">
  <si>
    <t>article_id</t>
  </si>
  <si>
    <t>measure_definition_short_name</t>
  </si>
  <si>
    <t>stat_type</t>
  </si>
  <si>
    <t>primary_val</t>
  </si>
  <si>
    <t>alt_val</t>
  </si>
  <si>
    <t>unit</t>
  </si>
  <si>
    <t>dispersion_type</t>
  </si>
  <si>
    <t>dispersion_val_1</t>
  </si>
  <si>
    <t>dispersion_val_2</t>
  </si>
  <si>
    <t>p_operator</t>
  </si>
  <si>
    <t>p_value</t>
  </si>
  <si>
    <t>timepoint_val</t>
  </si>
  <si>
    <t>timepoint_unit</t>
  </si>
  <si>
    <t>timepoint_normalized_days</t>
  </si>
  <si>
    <t>study_arm</t>
  </si>
  <si>
    <t>comparator_arm</t>
  </si>
  <si>
    <t>n_analyzed</t>
  </si>
  <si>
    <t>raw_text</t>
  </si>
  <si>
    <t>summary_text</t>
  </si>
  <si>
    <t>row_notes</t>
  </si>
  <si>
    <t>PMC-6380786.pdf</t>
  </si>
  <si>
    <t>MACE</t>
  </si>
  <si>
    <t>OR</t>
  </si>
  <si>
    <t>CI_95</t>
  </si>
  <si>
    <t>=</t>
  </si>
  <si>
    <t>OCT-guided PCI group</t>
  </si>
  <si>
    <t>angiography-guided PCI group</t>
  </si>
  <si>
    <t>As displayed in Figure 4 ... (OR = 0.72, 95% CI [0.50, 1.03], P = .07).</t>
  </si>
  <si>
    <t>No significant MACE difference between OCT-guided and angiography-guided PCI.</t>
  </si>
  <si>
    <t>Best example for dispersion + comparative stat</t>
  </si>
  <si>
    <t>PMID-16581699.pdf</t>
  </si>
  <si>
    <t>PERCENT</t>
  </si>
  <si>
    <t>%</t>
  </si>
  <si>
    <t>&lt;</t>
  </si>
  <si>
    <t>MONTHS</t>
  </si>
  <si>
    <t>Patients without coronary artery disease (Group I)</t>
  </si>
  <si>
    <t>Patients with history of coronary artery disease but no current significant stenosis (Group II)</t>
  </si>
  <si>
    <t>MACE total, n (%) 11 (6.4) [from Table V]</t>
  </si>
  <si>
    <t>MACE in Group I was 6.4% at 26 months.</t>
  </si>
  <si>
    <t>Comparative row vs Group II</t>
  </si>
  <si>
    <t>PMC-8126533.pdf</t>
  </si>
  <si>
    <t>First-generation PF-SES</t>
  </si>
  <si>
    <t>Second-generation PF-SES</t>
  </si>
  <si>
    <t>The accumulated MACE rates ... 1.5% (6/413) and 2.2% (5/230)...</t>
  </si>
  <si>
    <t>At 12 months, first-generation PF-SES had 1.5% MACE.</t>
  </si>
  <si>
    <t>Pair with second arm row</t>
  </si>
  <si>
    <t>At 12 months, second-generation PF-SES had 2.2% MACE.</t>
  </si>
  <si>
    <t>Second arm row</t>
  </si>
  <si>
    <t>PMID-31210252.pdf</t>
  </si>
  <si>
    <t>YEARS</t>
  </si>
  <si>
    <t>The cumulative MACE rate at 3 years follow-up was 6.5% ...</t>
  </si>
  <si>
    <t>Cumulative 3-year MACE was 6.5%.</t>
  </si>
  <si>
    <t>Single-arm style row</t>
  </si>
  <si>
    <t>Column Definitions</t>
  </si>
  <si>
    <t>column_name</t>
  </si>
  <si>
    <t>description</t>
  </si>
  <si>
    <t>PDF filename / article identifier.</t>
  </si>
  <si>
    <t>Must match MeasureDefinition short name in review (e.g., MACE).</t>
  </si>
  <si>
    <t>Statistic format (PERCENT, OR, HR, COUNT, etc.).</t>
  </si>
  <si>
    <t>Main numeric value for stat_type.</t>
  </si>
  <si>
    <t>Secondary numeric (optional), e.g. count numerator.</t>
  </si>
  <si>
    <t>Measurement unit, e.g. %, events/pt-yrs; blank if unitless.</t>
  </si>
  <si>
    <t>SD, SE, CI_95, CI_90, CI_99, IQR, RANGE.</t>
  </si>
  <si>
    <t>Single dispersion value or lower CI/IQR/Range bound.</t>
  </si>
  <si>
    <t>Upper CI/IQR/Range bound (blank for SD/SE).</t>
  </si>
  <si>
    <t>One of &lt;, =, &gt;, ≤, ≥, NS.</t>
  </si>
  <si>
    <t>Numeric p-value 0..1 (leave blank if not reported).</t>
  </si>
  <si>
    <t>Numeric timepoint (e.g. 12).</t>
  </si>
  <si>
    <t>DAYS/WEEKS/MONTHS/YEARS/HOURS/PROCEDURE.</t>
  </si>
  <si>
    <t>Optional normalized days value.</t>
  </si>
  <si>
    <t>Arm label matching study arm naming.</t>
  </si>
  <si>
    <t>Comparator arm for comparative stats.</t>
  </si>
  <si>
    <t>Sample size contributing to this row/result.</t>
  </si>
  <si>
    <t>Verbatim source sentence/fragment supporting extraction.</t>
  </si>
  <si>
    <t>One plain-English interpretation sentence.</t>
  </si>
  <si>
    <t>Annotator notes (optional).</t>
  </si>
  <si>
    <t>Ground Truth Instructions</t>
  </si>
  <si>
    <t>1) One row = one extractable measure result at one timepoint (and arm/comparator when relevant).</t>
  </si>
  <si>
    <t>2) Use measure_definition_short_name exactly as configured in review.</t>
  </si>
  <si>
    <t>3) raw_text should be verbatim evidence from article.</t>
  </si>
  <si>
    <t>4) Leave unknown values blank.</t>
  </si>
  <si>
    <t>5) For comparative stats, fill comparator_arm.</t>
  </si>
  <si>
    <t>6) Keep numeric fields numeric (no text annotations in numeric columns).</t>
  </si>
  <si>
    <t>MEAN</t>
  </si>
  <si>
    <t>SD</t>
  </si>
  <si>
    <t>DAYS</t>
  </si>
  <si>
    <t>MEDIAN</t>
  </si>
  <si>
    <t>SE</t>
  </si>
  <si>
    <t>WEEKS</t>
  </si>
  <si>
    <t>HR</t>
  </si>
  <si>
    <t>&gt;</t>
  </si>
  <si>
    <t>HAZARD_RATIO</t>
  </si>
  <si>
    <t>CI_90</t>
  </si>
  <si>
    <t>≤</t>
  </si>
  <si>
    <t>CI_99</t>
  </si>
  <si>
    <t>≥</t>
  </si>
  <si>
    <t>HOURS</t>
  </si>
  <si>
    <t>ODDS_RATIO</t>
  </si>
  <si>
    <t>IQR</t>
  </si>
  <si>
    <t>NS</t>
  </si>
  <si>
    <t>PROCEDURE</t>
  </si>
  <si>
    <t>RR</t>
  </si>
  <si>
    <t>RANGE</t>
  </si>
  <si>
    <t>RISK_RATIO</t>
  </si>
  <si>
    <t>COUNT</t>
  </si>
  <si>
    <t>RATE</t>
  </si>
  <si>
    <t>AUC</t>
  </si>
  <si>
    <t>CMAX</t>
  </si>
  <si>
    <t>TMAX</t>
  </si>
  <si>
    <t>CHANGE_FROM_BASELINE</t>
  </si>
  <si>
    <t>DIFFERENCE</t>
  </si>
  <si>
    <t>ABSOLUTE_RISK_REDUCTION</t>
  </si>
  <si>
    <t>NNT</t>
  </si>
  <si>
    <t>TLR</t>
  </si>
  <si>
    <t>TVR</t>
  </si>
  <si>
    <t>MI</t>
  </si>
  <si>
    <t>OCT-guided PCI</t>
  </si>
  <si>
    <t>Angiography-guided PCI</t>
  </si>
  <si>
    <t>OR=0.72, 95% CI [0.50, 1.03], P=.07.</t>
  </si>
  <si>
    <t>STENT_THROMBOSIS</t>
  </si>
  <si>
    <t>OR=0.53, 95% CI [0.25, 1.12], P=.09.</t>
  </si>
  <si>
    <t>No significant difference in stent thrombosis between groups.</t>
  </si>
  <si>
    <t>OR=0.80, 95% CI [0.55, 1.18], P=.26.</t>
  </si>
  <si>
    <t>TLR: OR=0.49, 95% CI [0.21, 1.11], P=.09.</t>
  </si>
  <si>
    <t>TVR: OR=0.71, 95% CI [0.44, 1.13], P=.15.</t>
  </si>
  <si>
    <t>ALL_CAUSE_DEATH</t>
  </si>
  <si>
    <t>OR=0.59, 95% CI [0.33, 1.04], P=.07.</t>
  </si>
  <si>
    <t>CV_DEATH</t>
  </si>
  <si>
    <t>OR=0.38, 95% CI [0.19, 0.74], P=.005.</t>
  </si>
  <si>
    <t>INTRAOP_COMPLICATION</t>
  </si>
  <si>
    <t>Short-stem THA (Metha)</t>
  </si>
  <si>
    <t>POSTOP_COMPLICATION_INPATIENT</t>
  </si>
  <si>
    <t>REVISION_INPATIENT</t>
  </si>
  <si>
    <t>POSTOP_COMPLICATION_FOLLOWUP</t>
  </si>
  <si>
    <t>REVISION_FOLLOWUP</t>
  </si>
  <si>
    <t>PMC-11242722.pdf</t>
  </si>
  <si>
    <t>OCT guidance did not significantly reduce MACE versus angiography guidance.</t>
  </si>
  <si>
    <t>Retracted article; pooled meta-analysis.</t>
  </si>
  <si>
    <t>No significant difference in myocardial infarction between groups.</t>
  </si>
  <si>
    <t>No significant difference in target lesion revascularization.</t>
  </si>
  <si>
    <t>No significant difference in target vessel revascularization.</t>
  </si>
  <si>
    <t>No significant difference in all-cause mortality.</t>
  </si>
  <si>
    <t>OCT guidance was associated with lower cardiovascular death.</t>
  </si>
  <si>
    <t>Intraoperative complications were observed in 3.77% of the cases and included 44 hairline cracks and 6 fractures.</t>
  </si>
  <si>
    <t>About 3.8% of procedures had intraoperative complications.</t>
  </si>
  <si>
    <t>Single-arm observational study.</t>
  </si>
  <si>
    <t>Direct postoperative complications during inpatient stay were detected in 32 cases, resulting in a complication rate of 2.44%.</t>
  </si>
  <si>
    <t>About 2.4% had inpatient postoperative complications.</t>
  </si>
  <si>
    <t>11 revision procedures were performed during inpatient stay, representing a revision rate of 0.84%. Mean time to revision was 8 days.</t>
  </si>
  <si>
    <t>Fewer than 1% required revision during inpatient stay.</t>
  </si>
  <si>
    <t>Postoperative THA-related complications were observed in 89 cases, resulting in a respective complication rate of 6.81%.</t>
  </si>
  <si>
    <t>About 6.8% had complications during follow-up.</t>
  </si>
  <si>
    <t>Median follow-up 7 years.</t>
  </si>
  <si>
    <t>Revision procedures during follow-up, n (%) 71 (5.43).</t>
  </si>
  <si>
    <t>About 5.4% required revision during follow-up.</t>
  </si>
  <si>
    <t>IMPLANT_SURVIVAL</t>
  </si>
  <si>
    <t>Kaplan‚ÄìMeier analysis revealed a 5-year survival rate of 95.66%.</t>
  </si>
  <si>
    <t>Implant survival was about 95.7% at 5 years.</t>
  </si>
  <si>
    <t>Kaplan‚ÄìMeier estimate.</t>
  </si>
  <si>
    <t>Kaplan‚ÄìMeier analysis revealed a 10-year survival rate of 95.58%.</t>
  </si>
  <si>
    <t>Implant survival was about 95.6% at 10 years.</t>
  </si>
  <si>
    <t>Kaplan‚ÄìMeier analysis revealed a 15-year survival rate of 95.50%.</t>
  </si>
  <si>
    <t>Implant survival was about 95.5% at 15 years.</t>
  </si>
  <si>
    <t>PMC-8056170.pdf</t>
  </si>
  <si>
    <t>Modular tapered revision stem (Stryker Restoration)</t>
  </si>
  <si>
    <t>The survival rate of the stem was 98.5%, where stem explant was used as the end point.</t>
  </si>
  <si>
    <t>Stem survival was very high over mean 51.8 months.</t>
  </si>
  <si>
    <t>Kaplan‚ÄìMeier; endpoint = stem explant.</t>
  </si>
  <si>
    <t>REOPERATION_RATE</t>
  </si>
  <si>
    <t>In total, 26 cases required further surgery while retaining the stem ... The rate of return to theatre for any reason was 13%.</t>
  </si>
  <si>
    <t>About 13% returned to theatre during follow-up.</t>
  </si>
  <si>
    <t>Return to theatre for any reason.</t>
  </si>
  <si>
    <t>STEM_SUBSIDENCE</t>
  </si>
  <si>
    <t>mm</t>
  </si>
  <si>
    <t>The mean subsidence was 4.2 mm (range: 0-33 mm).</t>
  </si>
  <si>
    <t>Average stem subsidence was about 4.2 mm.</t>
  </si>
  <si>
    <t>Radiographic subset with minimum 2-year follow-up.</t>
  </si>
  <si>
    <t>SUBSIDENCE_GT10MM</t>
  </si>
  <si>
    <t>14 stems (10%) demonstrated subsidence &gt;10 mm.</t>
  </si>
  <si>
    <t>Ten percent of assessed stems had subsidence &gt;10 mm.</t>
  </si>
  <si>
    <t>DISLOCATION</t>
  </si>
  <si>
    <t>Postoperative dislocation occurred in 15 cases (7.5%).</t>
  </si>
  <si>
    <t>Dislocation occurred in 7.5% of cases.</t>
  </si>
  <si>
    <t>Clinical complication.</t>
  </si>
  <si>
    <t>OHS</t>
  </si>
  <si>
    <t>The average OHS was 27.6.</t>
  </si>
  <si>
    <t>Average Oxford Hip Score was 27.6 among contacted participants.</t>
  </si>
  <si>
    <t>PROM subsample only.</t>
  </si>
  <si>
    <t>ETO_UNION</t>
  </si>
  <si>
    <t>ETO was performed in 62 cases. At follow-up, there was a 94% radiographic union rate of ETO.</t>
  </si>
  <si>
    <t>Extended trochanteric osteotomy united in 94% of cases.</t>
  </si>
  <si>
    <t>Radiographic outcome.</t>
  </si>
  <si>
    <t>PMID-35157505.pdf</t>
  </si>
  <si>
    <t>MARD</t>
  </si>
  <si>
    <t>Arm-placed G7 sensor</t>
  </si>
  <si>
    <t>YSI 2300 Stat Plus glucose analyzer</t>
  </si>
  <si>
    <t>For arm-placed sensors, overall MARD was 8.2%.</t>
  </si>
  <si>
    <t>Arm-placed G7 sensors had single-digit MARD.</t>
  </si>
  <si>
    <t>Accuracy endpoint.</t>
  </si>
  <si>
    <t>Abdomen-placed G7 sensor</t>
  </si>
  <si>
    <t>For abdomen-placed sensors, overall MARD was 9.1%.</t>
  </si>
  <si>
    <t>Abdomen-placed G7 sensors had single-digit MARD.</t>
  </si>
  <si>
    <t>AGREEMENT_15_15</t>
  </si>
  <si>
    <t>Overall %15/15 agreement rate was 89.6% for arm-placed sensors.</t>
  </si>
  <si>
    <t>Most arm-placed readings met the 15/15 criterion.</t>
  </si>
  <si>
    <t>Matched-pairs analysis.</t>
  </si>
  <si>
    <t>AGREEMENT_20_20</t>
  </si>
  <si>
    <t>Overall %20/20 agreement rate was 95.3% for arm-placed sensors.</t>
  </si>
  <si>
    <t>Arm-placed sensor %20/20 agreement was 95.3%.</t>
  </si>
  <si>
    <t>Overall %20/20 agreement rate was 93.2% for abdomen-placed sensors.</t>
  </si>
  <si>
    <t>Abdomen-placed sensor %20/20 agreement was 93.2%.</t>
  </si>
  <si>
    <t>SERIOUS_ADVERSE_EVENT</t>
  </si>
  <si>
    <t>Dexcom G7</t>
  </si>
  <si>
    <t>None</t>
  </si>
  <si>
    <t>No serious adverse events were reported.</t>
  </si>
  <si>
    <t>Safety endpoint.</t>
  </si>
  <si>
    <t>PMID-34515521.pdf</t>
  </si>
  <si>
    <t>Primary Eversense sensor</t>
  </si>
  <si>
    <t>YSI 2300 glucose analyzer</t>
  </si>
  <si>
    <t>For primary sensors, the percent CGM readings within 20%/20% of YSI values was 92.9%.</t>
  </si>
  <si>
    <t>Primary sensor %20/20 agreement was 92.9%.</t>
  </si>
  <si>
    <t>Overall through 180 days.</t>
  </si>
  <si>
    <t>For primary sensors, overall mean absolute relative difference (MARD) was 9.1%.</t>
  </si>
  <si>
    <t>Primary sensor MARD was 9.1%.</t>
  </si>
  <si>
    <t>ALERT_DETECTION_70MGDL</t>
  </si>
  <si>
    <t>Reference glucose threshold 70 mg/dL</t>
  </si>
  <si>
    <t>The confirmed alert detection rate at 70 mg/dL was 93%.</t>
  </si>
  <si>
    <t>Primary sensor detected low-glucose alerts well.</t>
  </si>
  <si>
    <t>Confirmed alert detection rate.</t>
  </si>
  <si>
    <t>ALERT_DETECTION_180MGDL</t>
  </si>
  <si>
    <t>Reference glucose threshold 180 mg/dL</t>
  </si>
  <si>
    <t>The confirmed alert detection rate at 180 mg/dL was 99%.</t>
  </si>
  <si>
    <t>Primary sensor detected high-glucose alerts very well.</t>
  </si>
  <si>
    <t>SENSOR_SURVIVAL</t>
  </si>
  <si>
    <t>Sixty-five percent of the primary sensors survived to 180 days.</t>
  </si>
  <si>
    <t>About 65% of primary sensors lasted to 180 days.</t>
  </si>
  <si>
    <t>Kaplan‚ÄìMeier sensor longevity.</t>
  </si>
  <si>
    <t>SBA Eversense sensor</t>
  </si>
  <si>
    <t>For the SBA sensors, the percent CGM readings within 20%/20% of YSI values was 93.9%.</t>
  </si>
  <si>
    <t>SBA sensor %20/20 agreement was 93.9%.</t>
  </si>
  <si>
    <t>For the SBA sensors, overall MARD was 8.5%.</t>
  </si>
  <si>
    <t>SBA sensor MARD was 8.5%.</t>
  </si>
  <si>
    <t>Ninety percent of the SBA sensors survived to 180 days.</t>
  </si>
  <si>
    <t>SBA sensors showed better longevity than primary sensors.</t>
  </si>
  <si>
    <t>Eversense system</t>
  </si>
  <si>
    <t>No device- or insertion/removal procedure-related SAEs were reported.</t>
  </si>
  <si>
    <t>No device- or procedure-related serious adverse events were reported.</t>
  </si>
  <si>
    <t>Supraflex SES</t>
  </si>
  <si>
    <t>The cumulative MACE rate at 3 years follow-up was 6.5%.</t>
  </si>
  <si>
    <t>MACE occurred in 6.5% by 3 years.</t>
  </si>
  <si>
    <t>CARDIAC_DEATH</t>
  </si>
  <si>
    <t>The cumulative MACE rate ... included 4 (1.8%) cardiac deaths.</t>
  </si>
  <si>
    <t>Cardiac death occurred in 1.8% by 3 years.</t>
  </si>
  <si>
    <t>Component of MACE.</t>
  </si>
  <si>
    <t>The cumulative MACE rate ... included 6 (2.8%) MI.</t>
  </si>
  <si>
    <t>Myocardial infarction occurred in 2.8% by 3 years.</t>
  </si>
  <si>
    <t>The cumulative MACE rate ... included 4 (1.8%) TLR.</t>
  </si>
  <si>
    <t>Target lesion revascularization occurred in 1.8% by 3 years.</t>
  </si>
  <si>
    <t>There were 2 (0.9%) cases of stent thrombosis.</t>
  </si>
  <si>
    <t>Stent thrombosis was uncommon at 0.9% by 3 years.</t>
  </si>
  <si>
    <t>No CAD</t>
  </si>
  <si>
    <t>The MACE rate was 6.4% in patients without coronary artery disease.</t>
  </si>
  <si>
    <t>Patients without CAD had lower MACE.</t>
  </si>
  <si>
    <t>Group I.</t>
  </si>
  <si>
    <t>History of CAD, no current significant stenosis</t>
  </si>
  <si>
    <t>MACE total, n (%) 26 (28.3).</t>
  </si>
  <si>
    <t>Patients with prior CAD but no current significant stenosis had high MACE.</t>
  </si>
  <si>
    <t>Group II.</t>
  </si>
  <si>
    <t>Significant coronary stenosis</t>
  </si>
  <si>
    <t>MACE total, n (%) 81 (28.3).</t>
  </si>
  <si>
    <t>Patients with significant coronary stenosis had high MACE.</t>
  </si>
  <si>
    <t>Group III.</t>
  </si>
  <si>
    <t>Cardiac death, n (%) 4 (2.3).</t>
  </si>
  <si>
    <t>Cardiac death was 2.3% without CAD.</t>
  </si>
  <si>
    <t>Cardiac death, n (%) 7 (7.6).</t>
  </si>
  <si>
    <t>Cardiac death was 7.6% with CAD history but no current significant stenosis.</t>
  </si>
  <si>
    <t>Cardiac death, n (%) 30 (10.5).</t>
  </si>
  <si>
    <t>Cardiac death was highest with significant coronary stenosis.</t>
  </si>
  <si>
    <t>Death of any cause, n (%) 13 (7.6).</t>
  </si>
  <si>
    <t>All-cause mortality was 7.6% without CAD.</t>
  </si>
  <si>
    <t>Death of any cause, n (%) 12 (13.0).</t>
  </si>
  <si>
    <t>All-cause mortality was 13.0% with CAD history but no current significant stenosis.</t>
  </si>
  <si>
    <t>Death of any cause, n (%) 46 (16.1).</t>
  </si>
  <si>
    <t>All-cause mortality was highest with significant coronary stenosis.</t>
  </si>
  <si>
    <t>NEUROLOGICAL_ISCHEMIC_EVENT</t>
  </si>
  <si>
    <t>All carotid artery stenting patients</t>
  </si>
  <si>
    <t>Neurological ischemic events occurred in nine patients (1.6%).</t>
  </si>
  <si>
    <t>Neurological ischemic events were infrequent overall.</t>
  </si>
  <si>
    <t>Distributed evenly across groups.</t>
  </si>
  <si>
    <t>PMC-8831361.pdf</t>
  </si>
  <si>
    <t>VF_DURATION</t>
  </si>
  <si>
    <t>minutes</t>
  </si>
  <si>
    <t>Case patient supported by LUCAS during PCI</t>
  </si>
  <si>
    <t>Despite a total VF time of 127 minutes, the patient was eventually discharged neurologically intact with a normal left ventricular function.</t>
  </si>
  <si>
    <t>The reported ventricular fibrillation duration was 127 minutes.</t>
  </si>
  <si>
    <t>Single-patient case report.</t>
  </si>
  <si>
    <t>SURVIVAL_TO_DISCHARGE</t>
  </si>
  <si>
    <t>The patient was eventually discharged neurologically intact.</t>
  </si>
  <si>
    <t>The single reported patient survived to discharge.</t>
  </si>
  <si>
    <t>LEFT_VENTRICULAR_FUNCTION_NORMAL_AT_DISCHARGE</t>
  </si>
  <si>
    <t>The patient was eventually discharged neurologically intact with a normal left ventricular function.</t>
  </si>
  <si>
    <t>The patient had normal left ventricular function at discharge.</t>
  </si>
  <si>
    <t>The accumulated TLR rates did not differ significantly between the first- and second-generation PF-SES (0.8% vs. 0.9%, p = 0.891).</t>
  </si>
  <si>
    <t>First-generation PF-SES TLR at 12 months was 0.8%.</t>
  </si>
  <si>
    <t>Compared against second-generation PF-SES.</t>
  </si>
  <si>
    <t>Second-generation PF-SES TLR at 12 months was 0.9%.</t>
  </si>
  <si>
    <t>Compared against first-generation PF-SES.</t>
  </si>
  <si>
    <t>The accumulated MACE rates were not significantly different (p = 0.561), at 1.5% (6/413) and 2.2% (5/230), respectively.</t>
  </si>
  <si>
    <t>First-generation PF-SES MACE at 12 months was 1.5%.</t>
  </si>
  <si>
    <t>Second-generation PF-SES MACE at 12 months was 2.2%.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</si>
</sst>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5723"/>
        <bgColor rgb="FF385723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0" borderId="1" xfId="0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16" customWidth="1"/>
    <col min="4" max="6" width="12" customWidth="1"/>
    <col min="7" max="9" width="16" customWidth="1"/>
    <col min="10" max="12" width="12" customWidth="1"/>
    <col min="13" max="13" width="18" customWidth="1"/>
    <col min="14" max="14" width="22" customWidth="1"/>
    <col min="15" max="16" width="34" customWidth="1"/>
    <col min="17" max="17" width="12" customWidth="1"/>
    <col min="18" max="18" width="60" customWidth="1"/>
    <col min="19" max="19" width="50" customWidth="1"/>
    <col min="20" max="20" width="30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0.72</v>
      </c>
      <c r="G2" t="s">
        <v>23</v>
      </c>
      <c r="H2">
        <v>0.5</v>
      </c>
      <c r="I2">
        <v>1.03</v>
      </c>
      <c r="J2" t="s">
        <v>24</v>
      </c>
      <c r="K2">
        <v>7.0000000000000007E-2</v>
      </c>
      <c r="O2" t="s">
        <v>25</v>
      </c>
      <c r="P2" t="s">
        <v>26</v>
      </c>
      <c r="Q2">
        <v>2413</v>
      </c>
      <c r="R2" t="s">
        <v>27</v>
      </c>
      <c r="S2" t="s">
        <v>28</v>
      </c>
      <c r="T2" t="s">
        <v>29</v>
      </c>
    </row>
    <row r="3" spans="1:20" x14ac:dyDescent="0.2">
      <c r="A3" t="s">
        <v>30</v>
      </c>
      <c r="B3" t="s">
        <v>21</v>
      </c>
      <c r="C3" t="s">
        <v>31</v>
      </c>
      <c r="D3">
        <v>6.4</v>
      </c>
      <c r="F3" t="s">
        <v>32</v>
      </c>
      <c r="J3" t="s">
        <v>33</v>
      </c>
      <c r="K3">
        <v>1.0000000000000001E-5</v>
      </c>
      <c r="L3">
        <v>26</v>
      </c>
      <c r="M3" t="s">
        <v>34</v>
      </c>
      <c r="N3">
        <v>791.375</v>
      </c>
      <c r="O3" t="s">
        <v>35</v>
      </c>
      <c r="P3" t="s">
        <v>36</v>
      </c>
      <c r="Q3">
        <v>171</v>
      </c>
      <c r="R3" t="s">
        <v>37</v>
      </c>
      <c r="S3" t="s">
        <v>38</v>
      </c>
      <c r="T3" t="s">
        <v>39</v>
      </c>
    </row>
    <row r="4" spans="1:20" x14ac:dyDescent="0.2">
      <c r="A4" t="s">
        <v>40</v>
      </c>
      <c r="B4" t="s">
        <v>21</v>
      </c>
      <c r="C4" t="s">
        <v>31</v>
      </c>
      <c r="D4">
        <v>1.5</v>
      </c>
      <c r="E4">
        <v>6</v>
      </c>
      <c r="F4" t="s">
        <v>32</v>
      </c>
      <c r="J4" t="s">
        <v>24</v>
      </c>
      <c r="K4">
        <v>0.56100000000000005</v>
      </c>
      <c r="L4">
        <v>12</v>
      </c>
      <c r="M4" t="s">
        <v>34</v>
      </c>
      <c r="N4">
        <v>365.25</v>
      </c>
      <c r="O4" t="s">
        <v>41</v>
      </c>
      <c r="P4" t="s">
        <v>42</v>
      </c>
      <c r="Q4">
        <v>413</v>
      </c>
      <c r="R4" t="s">
        <v>43</v>
      </c>
      <c r="S4" t="s">
        <v>44</v>
      </c>
      <c r="T4" t="s">
        <v>45</v>
      </c>
    </row>
    <row r="5" spans="1:20" x14ac:dyDescent="0.2">
      <c r="A5" t="s">
        <v>40</v>
      </c>
      <c r="B5" t="s">
        <v>21</v>
      </c>
      <c r="C5" t="s">
        <v>31</v>
      </c>
      <c r="D5">
        <v>2.2000000000000002</v>
      </c>
      <c r="E5">
        <v>5</v>
      </c>
      <c r="F5" t="s">
        <v>32</v>
      </c>
      <c r="J5" t="s">
        <v>24</v>
      </c>
      <c r="K5">
        <v>0.56100000000000005</v>
      </c>
      <c r="L5">
        <v>12</v>
      </c>
      <c r="M5" t="s">
        <v>34</v>
      </c>
      <c r="N5">
        <v>365.25</v>
      </c>
      <c r="O5" t="s">
        <v>42</v>
      </c>
      <c r="P5" t="s">
        <v>41</v>
      </c>
      <c r="Q5">
        <v>230</v>
      </c>
      <c r="R5" t="s">
        <v>43</v>
      </c>
      <c r="S5" t="s">
        <v>46</v>
      </c>
      <c r="T5" t="s">
        <v>47</v>
      </c>
    </row>
    <row r="6" spans="1:20" x14ac:dyDescent="0.2">
      <c r="A6" t="s">
        <v>48</v>
      </c>
      <c r="B6" t="s">
        <v>21</v>
      </c>
      <c r="C6" t="s">
        <v>31</v>
      </c>
      <c r="D6">
        <v>6.5</v>
      </c>
      <c r="E6">
        <v>14</v>
      </c>
      <c r="F6" t="s">
        <v>32</v>
      </c>
      <c r="L6">
        <v>3</v>
      </c>
      <c r="M6" t="s">
        <v>49</v>
      </c>
      <c r="N6">
        <v>1095.75</v>
      </c>
      <c r="Q6">
        <v>217</v>
      </c>
      <c r="R6" t="s">
        <v>50</v>
      </c>
      <c r="S6" t="s">
        <v>51</v>
      </c>
      <c r="T6" t="s">
        <v>52</v>
      </c>
    </row>
    <row r="9" spans="1:20" x14ac:dyDescent="0.2">
      <c r="A9" s="2" t="s">
        <v>53</v>
      </c>
    </row>
    <row r="10" spans="1:20" x14ac:dyDescent="0.2">
      <c r="A10" s="3" t="s">
        <v>54</v>
      </c>
      <c r="B10" s="3" t="s">
        <v>55</v>
      </c>
    </row>
    <row r="11" spans="1:20" ht="16" x14ac:dyDescent="0.2">
      <c r="A11" s="4" t="s">
        <v>0</v>
      </c>
      <c r="B11" s="4" t="s">
        <v>56</v>
      </c>
    </row>
    <row r="12" spans="1:20" ht="48" x14ac:dyDescent="0.2">
      <c r="A12" s="4" t="s">
        <v>1</v>
      </c>
      <c r="B12" s="4" t="s">
        <v>57</v>
      </c>
    </row>
    <row r="13" spans="1:20" ht="32" x14ac:dyDescent="0.2">
      <c r="A13" s="4" t="s">
        <v>2</v>
      </c>
      <c r="B13" s="4" t="s">
        <v>58</v>
      </c>
    </row>
    <row r="14" spans="1:20" ht="32" x14ac:dyDescent="0.2">
      <c r="A14" s="4" t="s">
        <v>3</v>
      </c>
      <c r="B14" s="4" t="s">
        <v>59</v>
      </c>
    </row>
    <row r="15" spans="1:20" ht="32" x14ac:dyDescent="0.2">
      <c r="A15" s="4" t="s">
        <v>4</v>
      </c>
      <c r="B15" s="4" t="s">
        <v>60</v>
      </c>
    </row>
    <row r="16" spans="1:20" ht="32" x14ac:dyDescent="0.2">
      <c r="A16" s="4" t="s">
        <v>5</v>
      </c>
      <c r="B16" s="4" t="s">
        <v>61</v>
      </c>
    </row>
    <row r="17" spans="1:2" ht="32" x14ac:dyDescent="0.2">
      <c r="A17" s="4" t="s">
        <v>6</v>
      </c>
      <c r="B17" s="4" t="s">
        <v>62</v>
      </c>
    </row>
    <row r="18" spans="1:2" ht="32" x14ac:dyDescent="0.2">
      <c r="A18" s="4" t="s">
        <v>7</v>
      </c>
      <c r="B18" s="4" t="s">
        <v>63</v>
      </c>
    </row>
    <row r="19" spans="1:2" ht="32" x14ac:dyDescent="0.2">
      <c r="A19" s="4" t="s">
        <v>8</v>
      </c>
      <c r="B19" s="4" t="s">
        <v>64</v>
      </c>
    </row>
    <row r="20" spans="1:2" ht="16" x14ac:dyDescent="0.2">
      <c r="A20" s="4" t="s">
        <v>9</v>
      </c>
      <c r="B20" s="4" t="s">
        <v>65</v>
      </c>
    </row>
    <row r="21" spans="1:2" ht="32" x14ac:dyDescent="0.2">
      <c r="A21" s="4" t="s">
        <v>10</v>
      </c>
      <c r="B21" s="4" t="s">
        <v>66</v>
      </c>
    </row>
    <row r="22" spans="1:2" ht="16" x14ac:dyDescent="0.2">
      <c r="A22" s="4" t="s">
        <v>11</v>
      </c>
      <c r="B22" s="4" t="s">
        <v>67</v>
      </c>
    </row>
    <row r="23" spans="1:2" ht="32" x14ac:dyDescent="0.2">
      <c r="A23" s="4" t="s">
        <v>12</v>
      </c>
      <c r="B23" s="4" t="s">
        <v>68</v>
      </c>
    </row>
    <row r="24" spans="1:2" ht="16" x14ac:dyDescent="0.2">
      <c r="A24" s="4" t="s">
        <v>13</v>
      </c>
      <c r="B24" s="4" t="s">
        <v>69</v>
      </c>
    </row>
    <row r="25" spans="1:2" ht="32" x14ac:dyDescent="0.2">
      <c r="A25" s="4" t="s">
        <v>14</v>
      </c>
      <c r="B25" s="4" t="s">
        <v>70</v>
      </c>
    </row>
    <row r="26" spans="1:2" ht="32" x14ac:dyDescent="0.2">
      <c r="A26" s="4" t="s">
        <v>15</v>
      </c>
      <c r="B26" s="4" t="s">
        <v>71</v>
      </c>
    </row>
    <row r="27" spans="1:2" ht="32" x14ac:dyDescent="0.2">
      <c r="A27" s="4" t="s">
        <v>16</v>
      </c>
      <c r="B27" s="4" t="s">
        <v>72</v>
      </c>
    </row>
    <row r="28" spans="1:2" ht="48" x14ac:dyDescent="0.2">
      <c r="A28" s="4" t="s">
        <v>17</v>
      </c>
      <c r="B28" s="4" t="s">
        <v>73</v>
      </c>
    </row>
    <row r="29" spans="1:2" ht="32" x14ac:dyDescent="0.2">
      <c r="A29" s="4" t="s">
        <v>18</v>
      </c>
      <c r="B29" s="4" t="s">
        <v>74</v>
      </c>
    </row>
    <row r="30" spans="1:2" ht="16" x14ac:dyDescent="0.2">
      <c r="A30" s="4" t="s">
        <v>19</v>
      </c>
      <c r="B30" s="4" t="s">
        <v>75</v>
      </c>
    </row>
  </sheetData>
  <dataValidations count="4">
    <dataValidation type="list" allowBlank="1" sqref="C2:C500" xr:uid="{00000000-0002-0000-0000-000000000000}">
      <formula1>"MEAN,MEDIAN,HR,HAZARD_RATIO,OR,ODDS_RATIO,RR,RISK_RATIO,COUNT,PERCENT,RATE,AUC,CMAX,TMAX,CHANGE_FROM_BASELINE,DIFFERENCE,ABSOLUTE_RISK_REDUCTION,NNT"</formula1>
    </dataValidation>
    <dataValidation type="list" allowBlank="1" sqref="G2:G500" xr:uid="{00000000-0002-0000-0000-000001000000}">
      <formula1>"SD,SE,CI_95,CI_90,CI_99,IQR,RANGE"</formula1>
    </dataValidation>
    <dataValidation type="list" allowBlank="1" sqref="J2:J500" xr:uid="{00000000-0002-0000-0000-000002000000}">
      <formula1>"&lt;,=,&gt;,≤,≥,NS"</formula1>
    </dataValidation>
    <dataValidation type="list" allowBlank="1" sqref="M2:M500" xr:uid="{00000000-0002-0000-0000-000003000000}">
      <formula1>"DAYS,WEEKS,MONTHS,YEARS,HOURS,PROCEDURE"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0E0-D0B9-2740-B9ED-F52A2B3412FA}">
  <dimension ref="A1:T60"/>
  <sheetViews>
    <sheetView tabSelected="1" workbookViewId="0">
      <selection activeCell="E75" sqref="E75"/>
    </sheetView>
  </sheetViews>
  <sheetFormatPr baseColWidth="10" defaultRowHeight="15" x14ac:dyDescent="0.2"/>
  <cols>
    <col min="1" max="1" width="17.33203125" customWidth="1"/>
    <col min="16" max="16" width="23.83203125" customWidth="1"/>
  </cols>
  <sheetData>
    <row r="1" spans="1:2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6" t="s">
        <v>20</v>
      </c>
      <c r="B2" s="7" t="s">
        <v>21</v>
      </c>
      <c r="C2" s="7" t="s">
        <v>22</v>
      </c>
      <c r="D2" s="7">
        <v>0.72</v>
      </c>
      <c r="E2" s="7"/>
      <c r="F2" s="7"/>
      <c r="G2" s="7" t="s">
        <v>23</v>
      </c>
      <c r="H2" s="7">
        <v>0.5</v>
      </c>
      <c r="I2" s="7">
        <v>1.03</v>
      </c>
      <c r="J2" s="7" t="s">
        <v>24</v>
      </c>
      <c r="K2" s="7">
        <v>7.0000000000000007E-2</v>
      </c>
      <c r="L2" s="7"/>
      <c r="M2" s="7"/>
      <c r="N2" s="7"/>
      <c r="O2" s="7" t="s">
        <v>116</v>
      </c>
      <c r="P2" s="7" t="s">
        <v>117</v>
      </c>
      <c r="Q2" s="7">
        <v>2413</v>
      </c>
      <c r="R2" s="7" t="s">
        <v>118</v>
      </c>
      <c r="S2" s="7" t="s">
        <v>136</v>
      </c>
      <c r="T2" s="7" t="s">
        <v>137</v>
      </c>
    </row>
    <row r="3" spans="1:20" x14ac:dyDescent="0.2">
      <c r="A3" s="6"/>
      <c r="B3" s="7" t="s">
        <v>119</v>
      </c>
      <c r="C3" s="7" t="s">
        <v>22</v>
      </c>
      <c r="D3" s="7">
        <v>0.53</v>
      </c>
      <c r="E3" s="7"/>
      <c r="F3" s="7"/>
      <c r="G3" s="7" t="s">
        <v>23</v>
      </c>
      <c r="H3" s="7">
        <v>0.25</v>
      </c>
      <c r="I3" s="7">
        <v>1.1200000000000001</v>
      </c>
      <c r="J3" s="7" t="s">
        <v>24</v>
      </c>
      <c r="K3" s="7">
        <v>0.09</v>
      </c>
      <c r="L3" s="7"/>
      <c r="M3" s="7"/>
      <c r="N3" s="7"/>
      <c r="O3" s="7" t="s">
        <v>116</v>
      </c>
      <c r="P3" s="7" t="s">
        <v>117</v>
      </c>
      <c r="Q3" s="7">
        <v>3682</v>
      </c>
      <c r="R3" s="7" t="s">
        <v>120</v>
      </c>
      <c r="S3" s="7" t="s">
        <v>121</v>
      </c>
      <c r="T3" s="7" t="s">
        <v>137</v>
      </c>
    </row>
    <row r="4" spans="1:20" x14ac:dyDescent="0.2">
      <c r="A4" s="6"/>
      <c r="B4" s="7" t="s">
        <v>115</v>
      </c>
      <c r="C4" s="7" t="s">
        <v>22</v>
      </c>
      <c r="D4" s="7">
        <v>0.8</v>
      </c>
      <c r="E4" s="7"/>
      <c r="F4" s="7"/>
      <c r="G4" s="7" t="s">
        <v>23</v>
      </c>
      <c r="H4" s="7">
        <v>0.55000000000000004</v>
      </c>
      <c r="I4" s="7">
        <v>1.18</v>
      </c>
      <c r="J4" s="7" t="s">
        <v>24</v>
      </c>
      <c r="K4" s="7">
        <v>0.26</v>
      </c>
      <c r="L4" s="7"/>
      <c r="M4" s="7"/>
      <c r="N4" s="7"/>
      <c r="O4" s="7" t="s">
        <v>116</v>
      </c>
      <c r="P4" s="7" t="s">
        <v>117</v>
      </c>
      <c r="Q4" s="7">
        <v>3798</v>
      </c>
      <c r="R4" s="7" t="s">
        <v>122</v>
      </c>
      <c r="S4" s="7" t="s">
        <v>138</v>
      </c>
      <c r="T4" s="7" t="s">
        <v>137</v>
      </c>
    </row>
    <row r="5" spans="1:20" x14ac:dyDescent="0.2">
      <c r="A5" s="6"/>
      <c r="B5" s="7" t="s">
        <v>113</v>
      </c>
      <c r="C5" s="7" t="s">
        <v>22</v>
      </c>
      <c r="D5" s="7">
        <v>0.49</v>
      </c>
      <c r="E5" s="7"/>
      <c r="F5" s="7"/>
      <c r="G5" s="7" t="s">
        <v>23</v>
      </c>
      <c r="H5" s="7">
        <v>0.21</v>
      </c>
      <c r="I5" s="7">
        <v>1.1100000000000001</v>
      </c>
      <c r="J5" s="7" t="s">
        <v>24</v>
      </c>
      <c r="K5" s="7">
        <v>0.09</v>
      </c>
      <c r="L5" s="7"/>
      <c r="M5" s="7"/>
      <c r="N5" s="7"/>
      <c r="O5" s="7" t="s">
        <v>116</v>
      </c>
      <c r="P5" s="7" t="s">
        <v>117</v>
      </c>
      <c r="Q5" s="7">
        <v>1432</v>
      </c>
      <c r="R5" s="7" t="s">
        <v>123</v>
      </c>
      <c r="S5" s="7" t="s">
        <v>139</v>
      </c>
      <c r="T5" s="7" t="s">
        <v>137</v>
      </c>
    </row>
    <row r="6" spans="1:20" x14ac:dyDescent="0.2">
      <c r="A6" s="6"/>
      <c r="B6" s="7" t="s">
        <v>114</v>
      </c>
      <c r="C6" s="7" t="s">
        <v>22</v>
      </c>
      <c r="D6" s="7">
        <v>0.71</v>
      </c>
      <c r="E6" s="7"/>
      <c r="F6" s="7"/>
      <c r="G6" s="7" t="s">
        <v>23</v>
      </c>
      <c r="H6" s="7">
        <v>0.44</v>
      </c>
      <c r="I6" s="7">
        <v>1.1299999999999999</v>
      </c>
      <c r="J6" s="7" t="s">
        <v>24</v>
      </c>
      <c r="K6" s="7">
        <v>0.15</v>
      </c>
      <c r="L6" s="7"/>
      <c r="M6" s="7"/>
      <c r="N6" s="7"/>
      <c r="O6" s="7" t="s">
        <v>116</v>
      </c>
      <c r="P6" s="7" t="s">
        <v>117</v>
      </c>
      <c r="Q6" s="7">
        <v>3009</v>
      </c>
      <c r="R6" s="7" t="s">
        <v>124</v>
      </c>
      <c r="S6" s="7" t="s">
        <v>140</v>
      </c>
      <c r="T6" s="7" t="s">
        <v>137</v>
      </c>
    </row>
    <row r="7" spans="1:20" x14ac:dyDescent="0.2">
      <c r="A7" s="6"/>
      <c r="B7" s="7" t="s">
        <v>125</v>
      </c>
      <c r="C7" s="7" t="s">
        <v>22</v>
      </c>
      <c r="D7" s="7">
        <v>0.59</v>
      </c>
      <c r="E7" s="7"/>
      <c r="F7" s="7"/>
      <c r="G7" s="7" t="s">
        <v>23</v>
      </c>
      <c r="H7" s="7">
        <v>0.33</v>
      </c>
      <c r="I7" s="7">
        <v>1.04</v>
      </c>
      <c r="J7" s="7" t="s">
        <v>24</v>
      </c>
      <c r="K7" s="7">
        <v>7.0000000000000007E-2</v>
      </c>
      <c r="L7" s="7"/>
      <c r="M7" s="7"/>
      <c r="N7" s="7"/>
      <c r="O7" s="7" t="s">
        <v>116</v>
      </c>
      <c r="P7" s="7" t="s">
        <v>117</v>
      </c>
      <c r="Q7" s="7">
        <v>1949</v>
      </c>
      <c r="R7" s="7" t="s">
        <v>126</v>
      </c>
      <c r="S7" s="7" t="s">
        <v>141</v>
      </c>
      <c r="T7" s="7" t="s">
        <v>137</v>
      </c>
    </row>
    <row r="8" spans="1:20" x14ac:dyDescent="0.2">
      <c r="A8" s="6"/>
      <c r="B8" s="7" t="s">
        <v>127</v>
      </c>
      <c r="C8" s="7" t="s">
        <v>22</v>
      </c>
      <c r="D8" s="7">
        <v>0.38</v>
      </c>
      <c r="E8" s="7"/>
      <c r="F8" s="7"/>
      <c r="G8" s="7" t="s">
        <v>23</v>
      </c>
      <c r="H8" s="7">
        <v>0.19</v>
      </c>
      <c r="I8" s="7">
        <v>0.74</v>
      </c>
      <c r="J8" s="7" t="s">
        <v>24</v>
      </c>
      <c r="K8" s="7">
        <v>5.0000000000000001E-3</v>
      </c>
      <c r="L8" s="7"/>
      <c r="M8" s="7"/>
      <c r="N8" s="7"/>
      <c r="O8" s="7" t="s">
        <v>116</v>
      </c>
      <c r="P8" s="7" t="s">
        <v>117</v>
      </c>
      <c r="Q8" s="7">
        <v>2604</v>
      </c>
      <c r="R8" s="7" t="s">
        <v>128</v>
      </c>
      <c r="S8" s="7" t="s">
        <v>142</v>
      </c>
      <c r="T8" s="7" t="s">
        <v>137</v>
      </c>
    </row>
    <row r="9" spans="1:20" x14ac:dyDescent="0.2">
      <c r="A9" s="8" t="s">
        <v>135</v>
      </c>
      <c r="B9" s="9" t="s">
        <v>129</v>
      </c>
      <c r="C9" s="9" t="s">
        <v>31</v>
      </c>
      <c r="D9" s="9">
        <v>3.77</v>
      </c>
      <c r="E9" s="9">
        <v>50</v>
      </c>
      <c r="F9" s="9" t="s">
        <v>32</v>
      </c>
      <c r="G9" s="9"/>
      <c r="H9" s="9"/>
      <c r="I9" s="9"/>
      <c r="J9" s="9"/>
      <c r="K9" s="9"/>
      <c r="L9" s="9"/>
      <c r="M9" s="9" t="s">
        <v>100</v>
      </c>
      <c r="N9" s="9"/>
      <c r="O9" s="9" t="s">
        <v>130</v>
      </c>
      <c r="P9" s="9"/>
      <c r="Q9" s="9">
        <v>1327</v>
      </c>
      <c r="R9" s="9" t="s">
        <v>143</v>
      </c>
      <c r="S9" s="9" t="s">
        <v>144</v>
      </c>
      <c r="T9" s="9" t="s">
        <v>145</v>
      </c>
    </row>
    <row r="10" spans="1:20" x14ac:dyDescent="0.2">
      <c r="A10" s="8"/>
      <c r="B10" s="9" t="s">
        <v>131</v>
      </c>
      <c r="C10" s="9" t="s">
        <v>31</v>
      </c>
      <c r="D10" s="9">
        <v>2.44</v>
      </c>
      <c r="E10" s="9">
        <v>32</v>
      </c>
      <c r="F10" s="9" t="s">
        <v>32</v>
      </c>
      <c r="G10" s="9"/>
      <c r="H10" s="9"/>
      <c r="I10" s="9"/>
      <c r="J10" s="9"/>
      <c r="K10" s="9"/>
      <c r="L10" s="9"/>
      <c r="M10" s="9" t="s">
        <v>100</v>
      </c>
      <c r="N10" s="9"/>
      <c r="O10" s="9" t="s">
        <v>130</v>
      </c>
      <c r="P10" s="9"/>
      <c r="Q10" s="9">
        <v>1312</v>
      </c>
      <c r="R10" s="9" t="s">
        <v>146</v>
      </c>
      <c r="S10" s="9" t="s">
        <v>147</v>
      </c>
      <c r="T10" s="9" t="s">
        <v>145</v>
      </c>
    </row>
    <row r="11" spans="1:20" x14ac:dyDescent="0.2">
      <c r="A11" s="8"/>
      <c r="B11" s="9" t="s">
        <v>132</v>
      </c>
      <c r="C11" s="9" t="s">
        <v>31</v>
      </c>
      <c r="D11" s="9">
        <v>0.84</v>
      </c>
      <c r="E11" s="9">
        <v>11</v>
      </c>
      <c r="F11" s="9" t="s">
        <v>32</v>
      </c>
      <c r="G11" s="9"/>
      <c r="H11" s="9"/>
      <c r="I11" s="9"/>
      <c r="J11" s="9"/>
      <c r="K11" s="9"/>
      <c r="L11" s="9">
        <v>8</v>
      </c>
      <c r="M11" s="9" t="s">
        <v>85</v>
      </c>
      <c r="N11" s="9">
        <v>8</v>
      </c>
      <c r="O11" s="9" t="s">
        <v>130</v>
      </c>
      <c r="P11" s="9"/>
      <c r="Q11" s="9">
        <v>1312</v>
      </c>
      <c r="R11" s="9" t="s">
        <v>148</v>
      </c>
      <c r="S11" s="9" t="s">
        <v>149</v>
      </c>
      <c r="T11" s="9" t="s">
        <v>145</v>
      </c>
    </row>
    <row r="12" spans="1:20" x14ac:dyDescent="0.2">
      <c r="A12" s="8"/>
      <c r="B12" s="9" t="s">
        <v>133</v>
      </c>
      <c r="C12" s="9" t="s">
        <v>31</v>
      </c>
      <c r="D12" s="9">
        <v>6.81</v>
      </c>
      <c r="E12" s="9">
        <v>89</v>
      </c>
      <c r="F12" s="9" t="s">
        <v>32</v>
      </c>
      <c r="G12" s="9"/>
      <c r="H12" s="9"/>
      <c r="I12" s="9"/>
      <c r="J12" s="9"/>
      <c r="K12" s="9"/>
      <c r="L12" s="9">
        <v>7</v>
      </c>
      <c r="M12" s="9" t="s">
        <v>49</v>
      </c>
      <c r="N12" s="9">
        <v>2555</v>
      </c>
      <c r="O12" s="9" t="s">
        <v>130</v>
      </c>
      <c r="P12" s="9"/>
      <c r="Q12" s="9">
        <v>1307</v>
      </c>
      <c r="R12" s="9" t="s">
        <v>150</v>
      </c>
      <c r="S12" s="9" t="s">
        <v>151</v>
      </c>
      <c r="T12" s="9" t="s">
        <v>152</v>
      </c>
    </row>
    <row r="13" spans="1:20" x14ac:dyDescent="0.2">
      <c r="A13" s="8"/>
      <c r="B13" s="9" t="s">
        <v>134</v>
      </c>
      <c r="C13" s="9" t="s">
        <v>31</v>
      </c>
      <c r="D13" s="9">
        <v>5.43</v>
      </c>
      <c r="E13" s="9">
        <v>71</v>
      </c>
      <c r="F13" s="9" t="s">
        <v>32</v>
      </c>
      <c r="G13" s="9"/>
      <c r="H13" s="9"/>
      <c r="I13" s="9"/>
      <c r="J13" s="9"/>
      <c r="K13" s="9"/>
      <c r="L13" s="9">
        <v>7</v>
      </c>
      <c r="M13" s="9" t="s">
        <v>49</v>
      </c>
      <c r="N13" s="9">
        <v>2555</v>
      </c>
      <c r="O13" s="9" t="s">
        <v>130</v>
      </c>
      <c r="P13" s="9"/>
      <c r="Q13" s="9">
        <v>1307</v>
      </c>
      <c r="R13" s="9" t="s">
        <v>153</v>
      </c>
      <c r="S13" s="9" t="s">
        <v>154</v>
      </c>
      <c r="T13" s="9" t="s">
        <v>152</v>
      </c>
    </row>
    <row r="14" spans="1:20" x14ac:dyDescent="0.2">
      <c r="A14" s="8"/>
      <c r="B14" s="9" t="s">
        <v>155</v>
      </c>
      <c r="C14" s="9" t="s">
        <v>31</v>
      </c>
      <c r="D14" s="9">
        <v>95.66</v>
      </c>
      <c r="E14" s="9"/>
      <c r="F14" s="9" t="s">
        <v>32</v>
      </c>
      <c r="G14" s="9"/>
      <c r="H14" s="9"/>
      <c r="I14" s="9"/>
      <c r="J14" s="9"/>
      <c r="K14" s="9"/>
      <c r="L14" s="9">
        <v>5</v>
      </c>
      <c r="M14" s="9" t="s">
        <v>49</v>
      </c>
      <c r="N14" s="9">
        <v>1825</v>
      </c>
      <c r="O14" s="9" t="s">
        <v>130</v>
      </c>
      <c r="P14" s="9"/>
      <c r="Q14" s="9">
        <v>1312</v>
      </c>
      <c r="R14" s="9" t="s">
        <v>156</v>
      </c>
      <c r="S14" s="9" t="s">
        <v>157</v>
      </c>
      <c r="T14" s="9" t="s">
        <v>158</v>
      </c>
    </row>
    <row r="15" spans="1:20" x14ac:dyDescent="0.2">
      <c r="A15" s="8"/>
      <c r="B15" s="9" t="s">
        <v>155</v>
      </c>
      <c r="C15" s="9" t="s">
        <v>31</v>
      </c>
      <c r="D15" s="9">
        <v>95.58</v>
      </c>
      <c r="E15" s="9"/>
      <c r="F15" s="9" t="s">
        <v>32</v>
      </c>
      <c r="G15" s="9"/>
      <c r="H15" s="9"/>
      <c r="I15" s="9"/>
      <c r="J15" s="9"/>
      <c r="K15" s="9"/>
      <c r="L15" s="9">
        <v>10</v>
      </c>
      <c r="M15" s="9" t="s">
        <v>49</v>
      </c>
      <c r="N15" s="9">
        <v>3650</v>
      </c>
      <c r="O15" s="9" t="s">
        <v>130</v>
      </c>
      <c r="P15" s="9"/>
      <c r="Q15" s="9">
        <v>1312</v>
      </c>
      <c r="R15" s="9" t="s">
        <v>159</v>
      </c>
      <c r="S15" s="9" t="s">
        <v>160</v>
      </c>
      <c r="T15" s="9" t="s">
        <v>158</v>
      </c>
    </row>
    <row r="16" spans="1:20" x14ac:dyDescent="0.2">
      <c r="A16" s="8"/>
      <c r="B16" s="9" t="s">
        <v>155</v>
      </c>
      <c r="C16" s="9" t="s">
        <v>31</v>
      </c>
      <c r="D16" s="9">
        <v>95.5</v>
      </c>
      <c r="E16" s="9"/>
      <c r="F16" s="9" t="s">
        <v>32</v>
      </c>
      <c r="G16" s="9"/>
      <c r="H16" s="9"/>
      <c r="I16" s="9"/>
      <c r="J16" s="9"/>
      <c r="K16" s="9"/>
      <c r="L16" s="9">
        <v>15</v>
      </c>
      <c r="M16" s="9" t="s">
        <v>49</v>
      </c>
      <c r="N16" s="9">
        <v>5475</v>
      </c>
      <c r="O16" s="9" t="s">
        <v>130</v>
      </c>
      <c r="P16" s="9"/>
      <c r="Q16" s="9">
        <v>1312</v>
      </c>
      <c r="R16" s="9" t="s">
        <v>161</v>
      </c>
      <c r="S16" s="9" t="s">
        <v>162</v>
      </c>
      <c r="T16" s="9" t="s">
        <v>158</v>
      </c>
    </row>
    <row r="17" spans="1:20" x14ac:dyDescent="0.2">
      <c r="A17" s="6" t="s">
        <v>163</v>
      </c>
      <c r="B17" s="7" t="s">
        <v>155</v>
      </c>
      <c r="C17" s="7" t="s">
        <v>31</v>
      </c>
      <c r="D17" s="7">
        <v>98.5</v>
      </c>
      <c r="E17" s="7"/>
      <c r="F17" s="7" t="s">
        <v>32</v>
      </c>
      <c r="G17" s="7"/>
      <c r="H17" s="7"/>
      <c r="I17" s="7"/>
      <c r="J17" s="7"/>
      <c r="K17" s="7"/>
      <c r="L17" s="7">
        <v>51.8</v>
      </c>
      <c r="M17" s="7" t="s">
        <v>34</v>
      </c>
      <c r="N17" s="7">
        <v>1576</v>
      </c>
      <c r="O17" s="7" t="s">
        <v>164</v>
      </c>
      <c r="P17" s="7"/>
      <c r="Q17" s="7">
        <v>198</v>
      </c>
      <c r="R17" s="7" t="s">
        <v>165</v>
      </c>
      <c r="S17" s="7" t="s">
        <v>166</v>
      </c>
      <c r="T17" s="7" t="s">
        <v>167</v>
      </c>
    </row>
    <row r="18" spans="1:20" x14ac:dyDescent="0.2">
      <c r="A18" s="6"/>
      <c r="B18" s="7" t="s">
        <v>168</v>
      </c>
      <c r="C18" s="7" t="s">
        <v>31</v>
      </c>
      <c r="D18" s="7">
        <v>13</v>
      </c>
      <c r="E18" s="7">
        <v>26</v>
      </c>
      <c r="F18" s="7" t="s">
        <v>32</v>
      </c>
      <c r="G18" s="7"/>
      <c r="H18" s="7"/>
      <c r="I18" s="7"/>
      <c r="J18" s="7"/>
      <c r="K18" s="7"/>
      <c r="L18" s="7">
        <v>51.8</v>
      </c>
      <c r="M18" s="7" t="s">
        <v>34</v>
      </c>
      <c r="N18" s="7">
        <v>1576</v>
      </c>
      <c r="O18" s="7" t="s">
        <v>164</v>
      </c>
      <c r="P18" s="7"/>
      <c r="Q18" s="7">
        <v>198</v>
      </c>
      <c r="R18" s="7" t="s">
        <v>169</v>
      </c>
      <c r="S18" s="7" t="s">
        <v>170</v>
      </c>
      <c r="T18" s="7" t="s">
        <v>171</v>
      </c>
    </row>
    <row r="19" spans="1:20" x14ac:dyDescent="0.2">
      <c r="A19" s="6"/>
      <c r="B19" s="7" t="s">
        <v>172</v>
      </c>
      <c r="C19" s="7" t="s">
        <v>83</v>
      </c>
      <c r="D19" s="7">
        <v>4.18</v>
      </c>
      <c r="E19" s="7"/>
      <c r="F19" s="7" t="s">
        <v>173</v>
      </c>
      <c r="G19" s="7" t="s">
        <v>102</v>
      </c>
      <c r="H19" s="7">
        <v>0</v>
      </c>
      <c r="I19" s="7">
        <v>33</v>
      </c>
      <c r="J19" s="7"/>
      <c r="K19" s="7"/>
      <c r="L19" s="7">
        <v>51.8</v>
      </c>
      <c r="M19" s="7" t="s">
        <v>34</v>
      </c>
      <c r="N19" s="7">
        <v>1576</v>
      </c>
      <c r="O19" s="7" t="s">
        <v>164</v>
      </c>
      <c r="P19" s="7"/>
      <c r="Q19" s="7">
        <v>140</v>
      </c>
      <c r="R19" s="7" t="s">
        <v>174</v>
      </c>
      <c r="S19" s="7" t="s">
        <v>175</v>
      </c>
      <c r="T19" s="7" t="s">
        <v>176</v>
      </c>
    </row>
    <row r="20" spans="1:20" x14ac:dyDescent="0.2">
      <c r="A20" s="6"/>
      <c r="B20" s="7" t="s">
        <v>177</v>
      </c>
      <c r="C20" s="7" t="s">
        <v>31</v>
      </c>
      <c r="D20" s="7">
        <v>10</v>
      </c>
      <c r="E20" s="7">
        <v>14</v>
      </c>
      <c r="F20" s="7" t="s">
        <v>32</v>
      </c>
      <c r="G20" s="7"/>
      <c r="H20" s="7"/>
      <c r="I20" s="7"/>
      <c r="J20" s="7"/>
      <c r="K20" s="7"/>
      <c r="L20" s="7">
        <v>51.8</v>
      </c>
      <c r="M20" s="7" t="s">
        <v>34</v>
      </c>
      <c r="N20" s="7">
        <v>1576</v>
      </c>
      <c r="O20" s="7" t="s">
        <v>164</v>
      </c>
      <c r="P20" s="7"/>
      <c r="Q20" s="7">
        <v>140</v>
      </c>
      <c r="R20" s="7" t="s">
        <v>178</v>
      </c>
      <c r="S20" s="7" t="s">
        <v>179</v>
      </c>
      <c r="T20" s="7" t="s">
        <v>176</v>
      </c>
    </row>
    <row r="21" spans="1:20" x14ac:dyDescent="0.2">
      <c r="A21" s="6"/>
      <c r="B21" s="7" t="s">
        <v>180</v>
      </c>
      <c r="C21" s="7" t="s">
        <v>31</v>
      </c>
      <c r="D21" s="7">
        <v>7.5</v>
      </c>
      <c r="E21" s="7">
        <v>15</v>
      </c>
      <c r="F21" s="7" t="s">
        <v>32</v>
      </c>
      <c r="G21" s="7"/>
      <c r="H21" s="7"/>
      <c r="I21" s="7"/>
      <c r="J21" s="7"/>
      <c r="K21" s="7"/>
      <c r="L21" s="7">
        <v>51.8</v>
      </c>
      <c r="M21" s="7" t="s">
        <v>34</v>
      </c>
      <c r="N21" s="7">
        <v>1576</v>
      </c>
      <c r="O21" s="7" t="s">
        <v>164</v>
      </c>
      <c r="P21" s="7"/>
      <c r="Q21" s="7">
        <v>198</v>
      </c>
      <c r="R21" s="7" t="s">
        <v>181</v>
      </c>
      <c r="S21" s="7" t="s">
        <v>182</v>
      </c>
      <c r="T21" s="7" t="s">
        <v>183</v>
      </c>
    </row>
    <row r="22" spans="1:20" x14ac:dyDescent="0.2">
      <c r="A22" s="6"/>
      <c r="B22" s="7" t="s">
        <v>184</v>
      </c>
      <c r="C22" s="7" t="s">
        <v>83</v>
      </c>
      <c r="D22" s="7">
        <v>27.6</v>
      </c>
      <c r="E22" s="7"/>
      <c r="F22" s="7"/>
      <c r="G22" s="7"/>
      <c r="H22" s="7"/>
      <c r="I22" s="7"/>
      <c r="J22" s="7"/>
      <c r="K22" s="7"/>
      <c r="L22" s="7">
        <v>51.8</v>
      </c>
      <c r="M22" s="7" t="s">
        <v>34</v>
      </c>
      <c r="N22" s="7">
        <v>1576</v>
      </c>
      <c r="O22" s="7" t="s">
        <v>164</v>
      </c>
      <c r="P22" s="7"/>
      <c r="Q22" s="7">
        <v>47</v>
      </c>
      <c r="R22" s="7" t="s">
        <v>185</v>
      </c>
      <c r="S22" s="7" t="s">
        <v>186</v>
      </c>
      <c r="T22" s="7" t="s">
        <v>187</v>
      </c>
    </row>
    <row r="23" spans="1:20" x14ac:dyDescent="0.2">
      <c r="A23" s="6"/>
      <c r="B23" s="7" t="s">
        <v>188</v>
      </c>
      <c r="C23" s="7" t="s">
        <v>31</v>
      </c>
      <c r="D23" s="7">
        <v>94</v>
      </c>
      <c r="E23" s="7"/>
      <c r="F23" s="7" t="s">
        <v>32</v>
      </c>
      <c r="G23" s="7"/>
      <c r="H23" s="7"/>
      <c r="I23" s="7"/>
      <c r="J23" s="7"/>
      <c r="K23" s="7"/>
      <c r="L23" s="7">
        <v>51.8</v>
      </c>
      <c r="M23" s="7" t="s">
        <v>34</v>
      </c>
      <c r="N23" s="7">
        <v>1576</v>
      </c>
      <c r="O23" s="7" t="s">
        <v>164</v>
      </c>
      <c r="P23" s="7"/>
      <c r="Q23" s="7">
        <v>62</v>
      </c>
      <c r="R23" s="7" t="s">
        <v>189</v>
      </c>
      <c r="S23" s="7" t="s">
        <v>190</v>
      </c>
      <c r="T23" s="7" t="s">
        <v>191</v>
      </c>
    </row>
    <row r="24" spans="1:20" x14ac:dyDescent="0.2">
      <c r="A24" s="8" t="s">
        <v>192</v>
      </c>
      <c r="B24" s="9" t="s">
        <v>193</v>
      </c>
      <c r="C24" s="9" t="s">
        <v>31</v>
      </c>
      <c r="D24" s="9">
        <v>8.1999999999999993</v>
      </c>
      <c r="E24" s="9"/>
      <c r="F24" s="9" t="s">
        <v>32</v>
      </c>
      <c r="G24" s="9"/>
      <c r="H24" s="9"/>
      <c r="I24" s="9"/>
      <c r="J24" s="9"/>
      <c r="K24" s="9"/>
      <c r="L24" s="9">
        <v>10.5</v>
      </c>
      <c r="M24" s="9" t="s">
        <v>85</v>
      </c>
      <c r="N24" s="9">
        <v>10.5</v>
      </c>
      <c r="O24" s="9" t="s">
        <v>194</v>
      </c>
      <c r="P24" s="9" t="s">
        <v>195</v>
      </c>
      <c r="Q24" s="9">
        <v>316</v>
      </c>
      <c r="R24" s="9" t="s">
        <v>196</v>
      </c>
      <c r="S24" s="9" t="s">
        <v>197</v>
      </c>
      <c r="T24" s="9" t="s">
        <v>198</v>
      </c>
    </row>
    <row r="25" spans="1:20" x14ac:dyDescent="0.2">
      <c r="A25" s="8"/>
      <c r="B25" s="9" t="s">
        <v>193</v>
      </c>
      <c r="C25" s="9" t="s">
        <v>31</v>
      </c>
      <c r="D25" s="9">
        <v>9.1</v>
      </c>
      <c r="E25" s="9"/>
      <c r="F25" s="9" t="s">
        <v>32</v>
      </c>
      <c r="G25" s="9"/>
      <c r="H25" s="9"/>
      <c r="I25" s="9"/>
      <c r="J25" s="9"/>
      <c r="K25" s="9"/>
      <c r="L25" s="9">
        <v>10.5</v>
      </c>
      <c r="M25" s="9" t="s">
        <v>85</v>
      </c>
      <c r="N25" s="9">
        <v>10.5</v>
      </c>
      <c r="O25" s="9" t="s">
        <v>199</v>
      </c>
      <c r="P25" s="9" t="s">
        <v>195</v>
      </c>
      <c r="Q25" s="9">
        <v>316</v>
      </c>
      <c r="R25" s="9" t="s">
        <v>200</v>
      </c>
      <c r="S25" s="9" t="s">
        <v>201</v>
      </c>
      <c r="T25" s="9" t="s">
        <v>198</v>
      </c>
    </row>
    <row r="26" spans="1:20" x14ac:dyDescent="0.2">
      <c r="A26" s="8"/>
      <c r="B26" s="9" t="s">
        <v>202</v>
      </c>
      <c r="C26" s="9" t="s">
        <v>31</v>
      </c>
      <c r="D26" s="9">
        <v>89.6</v>
      </c>
      <c r="E26" s="9"/>
      <c r="F26" s="9" t="s">
        <v>32</v>
      </c>
      <c r="G26" s="9"/>
      <c r="H26" s="9"/>
      <c r="I26" s="9"/>
      <c r="J26" s="9"/>
      <c r="K26" s="9"/>
      <c r="L26" s="9">
        <v>10.5</v>
      </c>
      <c r="M26" s="9" t="s">
        <v>85</v>
      </c>
      <c r="N26" s="9">
        <v>10.5</v>
      </c>
      <c r="O26" s="9" t="s">
        <v>194</v>
      </c>
      <c r="P26" s="9" t="s">
        <v>195</v>
      </c>
      <c r="Q26" s="9">
        <v>77774</v>
      </c>
      <c r="R26" s="9" t="s">
        <v>203</v>
      </c>
      <c r="S26" s="9" t="s">
        <v>204</v>
      </c>
      <c r="T26" s="9" t="s">
        <v>205</v>
      </c>
    </row>
    <row r="27" spans="1:20" x14ac:dyDescent="0.2">
      <c r="A27" s="8"/>
      <c r="B27" s="9" t="s">
        <v>206</v>
      </c>
      <c r="C27" s="9" t="s">
        <v>31</v>
      </c>
      <c r="D27" s="9">
        <v>95.3</v>
      </c>
      <c r="E27" s="9"/>
      <c r="F27" s="9" t="s">
        <v>32</v>
      </c>
      <c r="G27" s="9"/>
      <c r="H27" s="9"/>
      <c r="I27" s="9"/>
      <c r="J27" s="9"/>
      <c r="K27" s="9"/>
      <c r="L27" s="9">
        <v>10.5</v>
      </c>
      <c r="M27" s="9" t="s">
        <v>85</v>
      </c>
      <c r="N27" s="9">
        <v>10.5</v>
      </c>
      <c r="O27" s="9" t="s">
        <v>194</v>
      </c>
      <c r="P27" s="9" t="s">
        <v>195</v>
      </c>
      <c r="Q27" s="9">
        <v>77774</v>
      </c>
      <c r="R27" s="9" t="s">
        <v>207</v>
      </c>
      <c r="S27" s="9" t="s">
        <v>208</v>
      </c>
      <c r="T27" s="9" t="s">
        <v>205</v>
      </c>
    </row>
    <row r="28" spans="1:20" x14ac:dyDescent="0.2">
      <c r="A28" s="8"/>
      <c r="B28" s="9" t="s">
        <v>206</v>
      </c>
      <c r="C28" s="9" t="s">
        <v>31</v>
      </c>
      <c r="D28" s="9">
        <v>93.2</v>
      </c>
      <c r="E28" s="9"/>
      <c r="F28" s="9" t="s">
        <v>32</v>
      </c>
      <c r="G28" s="9"/>
      <c r="H28" s="9"/>
      <c r="I28" s="9"/>
      <c r="J28" s="9"/>
      <c r="K28" s="9"/>
      <c r="L28" s="9">
        <v>10.5</v>
      </c>
      <c r="M28" s="9" t="s">
        <v>85</v>
      </c>
      <c r="N28" s="9">
        <v>10.5</v>
      </c>
      <c r="O28" s="9" t="s">
        <v>199</v>
      </c>
      <c r="P28" s="9" t="s">
        <v>195</v>
      </c>
      <c r="Q28" s="9">
        <v>77774</v>
      </c>
      <c r="R28" s="9" t="s">
        <v>209</v>
      </c>
      <c r="S28" s="9" t="s">
        <v>210</v>
      </c>
      <c r="T28" s="9" t="s">
        <v>205</v>
      </c>
    </row>
    <row r="29" spans="1:20" x14ac:dyDescent="0.2">
      <c r="A29" s="8"/>
      <c r="B29" s="9" t="s">
        <v>211</v>
      </c>
      <c r="C29" s="9" t="s">
        <v>104</v>
      </c>
      <c r="D29" s="9">
        <v>0</v>
      </c>
      <c r="E29" s="9"/>
      <c r="F29" s="9"/>
      <c r="G29" s="9"/>
      <c r="H29" s="9"/>
      <c r="I29" s="9"/>
      <c r="J29" s="9"/>
      <c r="K29" s="9"/>
      <c r="L29" s="9">
        <v>10.5</v>
      </c>
      <c r="M29" s="9" t="s">
        <v>85</v>
      </c>
      <c r="N29" s="9">
        <v>10.5</v>
      </c>
      <c r="O29" s="9" t="s">
        <v>212</v>
      </c>
      <c r="P29" s="9" t="s">
        <v>213</v>
      </c>
      <c r="Q29" s="9">
        <v>316</v>
      </c>
      <c r="R29" s="9" t="s">
        <v>214</v>
      </c>
      <c r="S29" s="9" t="s">
        <v>214</v>
      </c>
      <c r="T29" s="9" t="s">
        <v>215</v>
      </c>
    </row>
    <row r="30" spans="1:20" x14ac:dyDescent="0.2">
      <c r="A30" s="6" t="s">
        <v>216</v>
      </c>
      <c r="B30" s="7" t="s">
        <v>206</v>
      </c>
      <c r="C30" s="7" t="s">
        <v>31</v>
      </c>
      <c r="D30" s="7">
        <v>92.9</v>
      </c>
      <c r="E30" s="7"/>
      <c r="F30" s="7" t="s">
        <v>32</v>
      </c>
      <c r="G30" s="7"/>
      <c r="H30" s="7"/>
      <c r="I30" s="7"/>
      <c r="J30" s="7"/>
      <c r="K30" s="7"/>
      <c r="L30" s="7">
        <v>180</v>
      </c>
      <c r="M30" s="7" t="s">
        <v>85</v>
      </c>
      <c r="N30" s="7">
        <v>180</v>
      </c>
      <c r="O30" s="7" t="s">
        <v>217</v>
      </c>
      <c r="P30" s="7" t="s">
        <v>218</v>
      </c>
      <c r="Q30" s="7">
        <v>49613</v>
      </c>
      <c r="R30" s="7" t="s">
        <v>219</v>
      </c>
      <c r="S30" s="7" t="s">
        <v>220</v>
      </c>
      <c r="T30" s="7" t="s">
        <v>221</v>
      </c>
    </row>
    <row r="31" spans="1:20" x14ac:dyDescent="0.2">
      <c r="A31" s="6"/>
      <c r="B31" s="7" t="s">
        <v>193</v>
      </c>
      <c r="C31" s="7" t="s">
        <v>31</v>
      </c>
      <c r="D31" s="7">
        <v>9.1</v>
      </c>
      <c r="E31" s="7"/>
      <c r="F31" s="7" t="s">
        <v>32</v>
      </c>
      <c r="G31" s="7"/>
      <c r="H31" s="7"/>
      <c r="I31" s="7"/>
      <c r="J31" s="7"/>
      <c r="K31" s="7"/>
      <c r="L31" s="7">
        <v>180</v>
      </c>
      <c r="M31" s="7" t="s">
        <v>85</v>
      </c>
      <c r="N31" s="7">
        <v>180</v>
      </c>
      <c r="O31" s="7" t="s">
        <v>217</v>
      </c>
      <c r="P31" s="7" t="s">
        <v>218</v>
      </c>
      <c r="Q31" s="7">
        <v>49613</v>
      </c>
      <c r="R31" s="7" t="s">
        <v>222</v>
      </c>
      <c r="S31" s="7" t="s">
        <v>223</v>
      </c>
      <c r="T31" s="7" t="s">
        <v>221</v>
      </c>
    </row>
    <row r="32" spans="1:20" x14ac:dyDescent="0.2">
      <c r="A32" s="6"/>
      <c r="B32" s="7" t="s">
        <v>224</v>
      </c>
      <c r="C32" s="7" t="s">
        <v>31</v>
      </c>
      <c r="D32" s="7">
        <v>93</v>
      </c>
      <c r="E32" s="7"/>
      <c r="F32" s="7" t="s">
        <v>32</v>
      </c>
      <c r="G32" s="7"/>
      <c r="H32" s="7"/>
      <c r="I32" s="7"/>
      <c r="J32" s="7"/>
      <c r="K32" s="7"/>
      <c r="L32" s="7">
        <v>180</v>
      </c>
      <c r="M32" s="7" t="s">
        <v>85</v>
      </c>
      <c r="N32" s="7">
        <v>180</v>
      </c>
      <c r="O32" s="7" t="s">
        <v>217</v>
      </c>
      <c r="P32" s="7" t="s">
        <v>225</v>
      </c>
      <c r="Q32" s="7">
        <v>181</v>
      </c>
      <c r="R32" s="7" t="s">
        <v>226</v>
      </c>
      <c r="S32" s="7" t="s">
        <v>227</v>
      </c>
      <c r="T32" s="7" t="s">
        <v>228</v>
      </c>
    </row>
    <row r="33" spans="1:20" x14ac:dyDescent="0.2">
      <c r="A33" s="6"/>
      <c r="B33" s="7" t="s">
        <v>229</v>
      </c>
      <c r="C33" s="7" t="s">
        <v>31</v>
      </c>
      <c r="D33" s="7">
        <v>99</v>
      </c>
      <c r="E33" s="7"/>
      <c r="F33" s="7" t="s">
        <v>32</v>
      </c>
      <c r="G33" s="7"/>
      <c r="H33" s="7"/>
      <c r="I33" s="7"/>
      <c r="J33" s="7"/>
      <c r="K33" s="7"/>
      <c r="L33" s="7">
        <v>180</v>
      </c>
      <c r="M33" s="7" t="s">
        <v>85</v>
      </c>
      <c r="N33" s="7">
        <v>180</v>
      </c>
      <c r="O33" s="7" t="s">
        <v>217</v>
      </c>
      <c r="P33" s="7" t="s">
        <v>230</v>
      </c>
      <c r="Q33" s="7">
        <v>181</v>
      </c>
      <c r="R33" s="7" t="s">
        <v>231</v>
      </c>
      <c r="S33" s="7" t="s">
        <v>232</v>
      </c>
      <c r="T33" s="7" t="s">
        <v>228</v>
      </c>
    </row>
    <row r="34" spans="1:20" x14ac:dyDescent="0.2">
      <c r="A34" s="6"/>
      <c r="B34" s="7" t="s">
        <v>233</v>
      </c>
      <c r="C34" s="7" t="s">
        <v>31</v>
      </c>
      <c r="D34" s="7">
        <v>65</v>
      </c>
      <c r="E34" s="7"/>
      <c r="F34" s="7" t="s">
        <v>32</v>
      </c>
      <c r="G34" s="7"/>
      <c r="H34" s="7"/>
      <c r="I34" s="7"/>
      <c r="J34" s="7"/>
      <c r="K34" s="7"/>
      <c r="L34" s="7">
        <v>180</v>
      </c>
      <c r="M34" s="7" t="s">
        <v>85</v>
      </c>
      <c r="N34" s="7">
        <v>180</v>
      </c>
      <c r="O34" s="7" t="s">
        <v>217</v>
      </c>
      <c r="P34" s="7"/>
      <c r="Q34" s="7">
        <v>181</v>
      </c>
      <c r="R34" s="7" t="s">
        <v>234</v>
      </c>
      <c r="S34" s="7" t="s">
        <v>235</v>
      </c>
      <c r="T34" s="7" t="s">
        <v>236</v>
      </c>
    </row>
    <row r="35" spans="1:20" x14ac:dyDescent="0.2">
      <c r="A35" s="6"/>
      <c r="B35" s="7" t="s">
        <v>206</v>
      </c>
      <c r="C35" s="7" t="s">
        <v>31</v>
      </c>
      <c r="D35" s="7">
        <v>93.9</v>
      </c>
      <c r="E35" s="7"/>
      <c r="F35" s="7" t="s">
        <v>32</v>
      </c>
      <c r="G35" s="7"/>
      <c r="H35" s="7"/>
      <c r="I35" s="7"/>
      <c r="J35" s="7"/>
      <c r="K35" s="7"/>
      <c r="L35" s="7">
        <v>180</v>
      </c>
      <c r="M35" s="7" t="s">
        <v>85</v>
      </c>
      <c r="N35" s="7">
        <v>180</v>
      </c>
      <c r="O35" s="7" t="s">
        <v>237</v>
      </c>
      <c r="P35" s="7" t="s">
        <v>218</v>
      </c>
      <c r="Q35" s="7">
        <v>12034</v>
      </c>
      <c r="R35" s="7" t="s">
        <v>238</v>
      </c>
      <c r="S35" s="7" t="s">
        <v>239</v>
      </c>
      <c r="T35" s="7" t="s">
        <v>221</v>
      </c>
    </row>
    <row r="36" spans="1:20" x14ac:dyDescent="0.2">
      <c r="A36" s="6"/>
      <c r="B36" s="7" t="s">
        <v>193</v>
      </c>
      <c r="C36" s="7" t="s">
        <v>31</v>
      </c>
      <c r="D36" s="7">
        <v>8.5</v>
      </c>
      <c r="E36" s="7"/>
      <c r="F36" s="7" t="s">
        <v>32</v>
      </c>
      <c r="G36" s="7"/>
      <c r="H36" s="7"/>
      <c r="I36" s="7"/>
      <c r="J36" s="7"/>
      <c r="K36" s="7"/>
      <c r="L36" s="7">
        <v>180</v>
      </c>
      <c r="M36" s="7" t="s">
        <v>85</v>
      </c>
      <c r="N36" s="7">
        <v>180</v>
      </c>
      <c r="O36" s="7" t="s">
        <v>237</v>
      </c>
      <c r="P36" s="7" t="s">
        <v>218</v>
      </c>
      <c r="Q36" s="7">
        <v>12034</v>
      </c>
      <c r="R36" s="7" t="s">
        <v>240</v>
      </c>
      <c r="S36" s="7" t="s">
        <v>241</v>
      </c>
      <c r="T36" s="7" t="s">
        <v>221</v>
      </c>
    </row>
    <row r="37" spans="1:20" x14ac:dyDescent="0.2">
      <c r="A37" s="6"/>
      <c r="B37" s="7" t="s">
        <v>233</v>
      </c>
      <c r="C37" s="7" t="s">
        <v>31</v>
      </c>
      <c r="D37" s="7">
        <v>90</v>
      </c>
      <c r="E37" s="7"/>
      <c r="F37" s="7" t="s">
        <v>32</v>
      </c>
      <c r="G37" s="7"/>
      <c r="H37" s="7"/>
      <c r="I37" s="7"/>
      <c r="J37" s="7"/>
      <c r="K37" s="7"/>
      <c r="L37" s="7">
        <v>180</v>
      </c>
      <c r="M37" s="7" t="s">
        <v>85</v>
      </c>
      <c r="N37" s="7">
        <v>180</v>
      </c>
      <c r="O37" s="7" t="s">
        <v>237</v>
      </c>
      <c r="P37" s="7"/>
      <c r="Q37" s="7">
        <v>43</v>
      </c>
      <c r="R37" s="7" t="s">
        <v>242</v>
      </c>
      <c r="S37" s="7" t="s">
        <v>243</v>
      </c>
      <c r="T37" s="7" t="s">
        <v>236</v>
      </c>
    </row>
    <row r="38" spans="1:20" x14ac:dyDescent="0.2">
      <c r="A38" s="6"/>
      <c r="B38" s="7" t="s">
        <v>211</v>
      </c>
      <c r="C38" s="7" t="s">
        <v>104</v>
      </c>
      <c r="D38" s="7">
        <v>0</v>
      </c>
      <c r="E38" s="7"/>
      <c r="F38" s="7"/>
      <c r="G38" s="7"/>
      <c r="H38" s="7"/>
      <c r="I38" s="7"/>
      <c r="J38" s="7"/>
      <c r="K38" s="7"/>
      <c r="L38" s="7">
        <v>180</v>
      </c>
      <c r="M38" s="7" t="s">
        <v>85</v>
      </c>
      <c r="N38" s="7">
        <v>180</v>
      </c>
      <c r="O38" s="7" t="s">
        <v>244</v>
      </c>
      <c r="P38" s="7"/>
      <c r="Q38" s="7">
        <v>181</v>
      </c>
      <c r="R38" s="7" t="s">
        <v>245</v>
      </c>
      <c r="S38" s="7" t="s">
        <v>246</v>
      </c>
      <c r="T38" s="7" t="s">
        <v>215</v>
      </c>
    </row>
    <row r="39" spans="1:20" x14ac:dyDescent="0.2">
      <c r="A39" s="8" t="s">
        <v>48</v>
      </c>
      <c r="B39" s="9" t="s">
        <v>21</v>
      </c>
      <c r="C39" s="9" t="s">
        <v>31</v>
      </c>
      <c r="D39" s="9">
        <v>6.5</v>
      </c>
      <c r="E39" s="9"/>
      <c r="F39" s="9" t="s">
        <v>32</v>
      </c>
      <c r="G39" s="9"/>
      <c r="H39" s="9"/>
      <c r="I39" s="9"/>
      <c r="J39" s="9"/>
      <c r="K39" s="9"/>
      <c r="L39" s="9">
        <v>3</v>
      </c>
      <c r="M39" s="9" t="s">
        <v>49</v>
      </c>
      <c r="N39" s="9">
        <v>1095</v>
      </c>
      <c r="O39" s="9" t="s">
        <v>247</v>
      </c>
      <c r="P39" s="9"/>
      <c r="Q39" s="9">
        <v>237</v>
      </c>
      <c r="R39" s="9" t="s">
        <v>248</v>
      </c>
      <c r="S39" s="9" t="s">
        <v>249</v>
      </c>
      <c r="T39" s="9" t="s">
        <v>145</v>
      </c>
    </row>
    <row r="40" spans="1:20" x14ac:dyDescent="0.2">
      <c r="A40" s="8"/>
      <c r="B40" s="9" t="s">
        <v>250</v>
      </c>
      <c r="C40" s="9" t="s">
        <v>31</v>
      </c>
      <c r="D40" s="9">
        <v>1.8</v>
      </c>
      <c r="E40" s="9">
        <v>4</v>
      </c>
      <c r="F40" s="9" t="s">
        <v>32</v>
      </c>
      <c r="G40" s="9"/>
      <c r="H40" s="9"/>
      <c r="I40" s="9"/>
      <c r="J40" s="9"/>
      <c r="K40" s="9"/>
      <c r="L40" s="9">
        <v>3</v>
      </c>
      <c r="M40" s="9" t="s">
        <v>49</v>
      </c>
      <c r="N40" s="9">
        <v>1095</v>
      </c>
      <c r="O40" s="9" t="s">
        <v>247</v>
      </c>
      <c r="P40" s="9"/>
      <c r="Q40" s="9">
        <v>237</v>
      </c>
      <c r="R40" s="9" t="s">
        <v>251</v>
      </c>
      <c r="S40" s="9" t="s">
        <v>252</v>
      </c>
      <c r="T40" s="9" t="s">
        <v>253</v>
      </c>
    </row>
    <row r="41" spans="1:20" x14ac:dyDescent="0.2">
      <c r="A41" s="8"/>
      <c r="B41" s="9" t="s">
        <v>115</v>
      </c>
      <c r="C41" s="9" t="s">
        <v>31</v>
      </c>
      <c r="D41" s="9">
        <v>2.8</v>
      </c>
      <c r="E41" s="9">
        <v>6</v>
      </c>
      <c r="F41" s="9" t="s">
        <v>32</v>
      </c>
      <c r="G41" s="9"/>
      <c r="H41" s="9"/>
      <c r="I41" s="9"/>
      <c r="J41" s="9"/>
      <c r="K41" s="9"/>
      <c r="L41" s="9">
        <v>3</v>
      </c>
      <c r="M41" s="9" t="s">
        <v>49</v>
      </c>
      <c r="N41" s="9">
        <v>1095</v>
      </c>
      <c r="O41" s="9" t="s">
        <v>247</v>
      </c>
      <c r="P41" s="9"/>
      <c r="Q41" s="9">
        <v>237</v>
      </c>
      <c r="R41" s="9" t="s">
        <v>254</v>
      </c>
      <c r="S41" s="9" t="s">
        <v>255</v>
      </c>
      <c r="T41" s="9" t="s">
        <v>253</v>
      </c>
    </row>
    <row r="42" spans="1:20" x14ac:dyDescent="0.2">
      <c r="A42" s="8"/>
      <c r="B42" s="9" t="s">
        <v>113</v>
      </c>
      <c r="C42" s="9" t="s">
        <v>31</v>
      </c>
      <c r="D42" s="9">
        <v>1.8</v>
      </c>
      <c r="E42" s="9">
        <v>4</v>
      </c>
      <c r="F42" s="9" t="s">
        <v>32</v>
      </c>
      <c r="G42" s="9"/>
      <c r="H42" s="9"/>
      <c r="I42" s="9"/>
      <c r="J42" s="9"/>
      <c r="K42" s="9"/>
      <c r="L42" s="9">
        <v>3</v>
      </c>
      <c r="M42" s="9" t="s">
        <v>49</v>
      </c>
      <c r="N42" s="9">
        <v>1095</v>
      </c>
      <c r="O42" s="9" t="s">
        <v>247</v>
      </c>
      <c r="P42" s="9"/>
      <c r="Q42" s="9">
        <v>237</v>
      </c>
      <c r="R42" s="9" t="s">
        <v>256</v>
      </c>
      <c r="S42" s="9" t="s">
        <v>257</v>
      </c>
      <c r="T42" s="9" t="s">
        <v>253</v>
      </c>
    </row>
    <row r="43" spans="1:20" x14ac:dyDescent="0.2">
      <c r="A43" s="8"/>
      <c r="B43" s="9" t="s">
        <v>119</v>
      </c>
      <c r="C43" s="9" t="s">
        <v>31</v>
      </c>
      <c r="D43" s="9">
        <v>0.9</v>
      </c>
      <c r="E43" s="9">
        <v>2</v>
      </c>
      <c r="F43" s="9" t="s">
        <v>32</v>
      </c>
      <c r="G43" s="9"/>
      <c r="H43" s="9"/>
      <c r="I43" s="9"/>
      <c r="J43" s="9"/>
      <c r="K43" s="9"/>
      <c r="L43" s="9">
        <v>3</v>
      </c>
      <c r="M43" s="9" t="s">
        <v>49</v>
      </c>
      <c r="N43" s="9">
        <v>1095</v>
      </c>
      <c r="O43" s="9" t="s">
        <v>247</v>
      </c>
      <c r="P43" s="9"/>
      <c r="Q43" s="9">
        <v>237</v>
      </c>
      <c r="R43" s="9" t="s">
        <v>258</v>
      </c>
      <c r="S43" s="9" t="s">
        <v>259</v>
      </c>
      <c r="T43" s="9" t="s">
        <v>215</v>
      </c>
    </row>
    <row r="44" spans="1:20" x14ac:dyDescent="0.2">
      <c r="A44" s="6" t="s">
        <v>30</v>
      </c>
      <c r="B44" s="7" t="s">
        <v>21</v>
      </c>
      <c r="C44" s="7" t="s">
        <v>31</v>
      </c>
      <c r="D44" s="7">
        <v>6.4</v>
      </c>
      <c r="E44" s="7">
        <v>11</v>
      </c>
      <c r="F44" s="7" t="s">
        <v>32</v>
      </c>
      <c r="G44" s="7"/>
      <c r="H44" s="7"/>
      <c r="I44" s="7"/>
      <c r="J44" s="7"/>
      <c r="K44" s="7"/>
      <c r="L44" s="7">
        <v>26</v>
      </c>
      <c r="M44" s="7" t="s">
        <v>34</v>
      </c>
      <c r="N44" s="7">
        <v>791.44</v>
      </c>
      <c r="O44" s="7" t="s">
        <v>260</v>
      </c>
      <c r="P44" s="7"/>
      <c r="Q44" s="7">
        <v>171</v>
      </c>
      <c r="R44" s="7" t="s">
        <v>261</v>
      </c>
      <c r="S44" s="7" t="s">
        <v>262</v>
      </c>
      <c r="T44" s="7" t="s">
        <v>263</v>
      </c>
    </row>
    <row r="45" spans="1:20" x14ac:dyDescent="0.2">
      <c r="A45" s="6"/>
      <c r="B45" s="7" t="s">
        <v>21</v>
      </c>
      <c r="C45" s="7" t="s">
        <v>31</v>
      </c>
      <c r="D45" s="7">
        <v>28.3</v>
      </c>
      <c r="E45" s="7">
        <v>26</v>
      </c>
      <c r="F45" s="7" t="s">
        <v>32</v>
      </c>
      <c r="G45" s="7"/>
      <c r="H45" s="7"/>
      <c r="I45" s="7"/>
      <c r="J45" s="7"/>
      <c r="K45" s="7"/>
      <c r="L45" s="7">
        <v>26</v>
      </c>
      <c r="M45" s="7" t="s">
        <v>34</v>
      </c>
      <c r="N45" s="7">
        <v>791.44</v>
      </c>
      <c r="O45" s="7" t="s">
        <v>264</v>
      </c>
      <c r="P45" s="7"/>
      <c r="Q45" s="7">
        <v>92</v>
      </c>
      <c r="R45" s="7" t="s">
        <v>265</v>
      </c>
      <c r="S45" s="7" t="s">
        <v>266</v>
      </c>
      <c r="T45" s="7" t="s">
        <v>267</v>
      </c>
    </row>
    <row r="46" spans="1:20" x14ac:dyDescent="0.2">
      <c r="A46" s="6"/>
      <c r="B46" s="7" t="s">
        <v>21</v>
      </c>
      <c r="C46" s="7" t="s">
        <v>31</v>
      </c>
      <c r="D46" s="7">
        <v>28.3</v>
      </c>
      <c r="E46" s="7">
        <v>81</v>
      </c>
      <c r="F46" s="7" t="s">
        <v>32</v>
      </c>
      <c r="G46" s="7"/>
      <c r="H46" s="7"/>
      <c r="I46" s="7"/>
      <c r="J46" s="7"/>
      <c r="K46" s="7"/>
      <c r="L46" s="7">
        <v>26</v>
      </c>
      <c r="M46" s="7" t="s">
        <v>34</v>
      </c>
      <c r="N46" s="7">
        <v>791.44</v>
      </c>
      <c r="O46" s="7" t="s">
        <v>268</v>
      </c>
      <c r="P46" s="7"/>
      <c r="Q46" s="7">
        <v>286</v>
      </c>
      <c r="R46" s="7" t="s">
        <v>269</v>
      </c>
      <c r="S46" s="7" t="s">
        <v>270</v>
      </c>
      <c r="T46" s="7" t="s">
        <v>271</v>
      </c>
    </row>
    <row r="47" spans="1:20" x14ac:dyDescent="0.2">
      <c r="A47" s="6"/>
      <c r="B47" s="7" t="s">
        <v>250</v>
      </c>
      <c r="C47" s="7" t="s">
        <v>31</v>
      </c>
      <c r="D47" s="7">
        <v>2.2999999999999998</v>
      </c>
      <c r="E47" s="7">
        <v>4</v>
      </c>
      <c r="F47" s="7" t="s">
        <v>32</v>
      </c>
      <c r="G47" s="7"/>
      <c r="H47" s="7"/>
      <c r="I47" s="7"/>
      <c r="J47" s="7"/>
      <c r="K47" s="7"/>
      <c r="L47" s="7">
        <v>26</v>
      </c>
      <c r="M47" s="7" t="s">
        <v>34</v>
      </c>
      <c r="N47" s="7">
        <v>791.44</v>
      </c>
      <c r="O47" s="7" t="s">
        <v>260</v>
      </c>
      <c r="P47" s="7"/>
      <c r="Q47" s="7">
        <v>171</v>
      </c>
      <c r="R47" s="7" t="s">
        <v>272</v>
      </c>
      <c r="S47" s="7" t="s">
        <v>273</v>
      </c>
      <c r="T47" s="7" t="s">
        <v>263</v>
      </c>
    </row>
    <row r="48" spans="1:20" x14ac:dyDescent="0.2">
      <c r="A48" s="6"/>
      <c r="B48" s="7" t="s">
        <v>250</v>
      </c>
      <c r="C48" s="7" t="s">
        <v>31</v>
      </c>
      <c r="D48" s="7">
        <v>7.6</v>
      </c>
      <c r="E48" s="7">
        <v>7</v>
      </c>
      <c r="F48" s="7" t="s">
        <v>32</v>
      </c>
      <c r="G48" s="7"/>
      <c r="H48" s="7"/>
      <c r="I48" s="7"/>
      <c r="J48" s="7"/>
      <c r="K48" s="7"/>
      <c r="L48" s="7">
        <v>26</v>
      </c>
      <c r="M48" s="7" t="s">
        <v>34</v>
      </c>
      <c r="N48" s="7">
        <v>791.44</v>
      </c>
      <c r="O48" s="7" t="s">
        <v>264</v>
      </c>
      <c r="P48" s="7"/>
      <c r="Q48" s="7">
        <v>92</v>
      </c>
      <c r="R48" s="7" t="s">
        <v>274</v>
      </c>
      <c r="S48" s="7" t="s">
        <v>275</v>
      </c>
      <c r="T48" s="7" t="s">
        <v>267</v>
      </c>
    </row>
    <row r="49" spans="1:20" x14ac:dyDescent="0.2">
      <c r="A49" s="6"/>
      <c r="B49" s="7" t="s">
        <v>250</v>
      </c>
      <c r="C49" s="7" t="s">
        <v>31</v>
      </c>
      <c r="D49" s="7">
        <v>10.5</v>
      </c>
      <c r="E49" s="7">
        <v>30</v>
      </c>
      <c r="F49" s="7" t="s">
        <v>32</v>
      </c>
      <c r="G49" s="7"/>
      <c r="H49" s="7"/>
      <c r="I49" s="7"/>
      <c r="J49" s="7"/>
      <c r="K49" s="7"/>
      <c r="L49" s="7">
        <v>26</v>
      </c>
      <c r="M49" s="7" t="s">
        <v>34</v>
      </c>
      <c r="N49" s="7">
        <v>791.44</v>
      </c>
      <c r="O49" s="7" t="s">
        <v>268</v>
      </c>
      <c r="P49" s="7"/>
      <c r="Q49" s="7">
        <v>286</v>
      </c>
      <c r="R49" s="7" t="s">
        <v>276</v>
      </c>
      <c r="S49" s="7" t="s">
        <v>277</v>
      </c>
      <c r="T49" s="7" t="s">
        <v>271</v>
      </c>
    </row>
    <row r="50" spans="1:20" x14ac:dyDescent="0.2">
      <c r="A50" s="6"/>
      <c r="B50" s="7" t="s">
        <v>125</v>
      </c>
      <c r="C50" s="7" t="s">
        <v>31</v>
      </c>
      <c r="D50" s="7">
        <v>7.6</v>
      </c>
      <c r="E50" s="7">
        <v>13</v>
      </c>
      <c r="F50" s="7" t="s">
        <v>32</v>
      </c>
      <c r="G50" s="7"/>
      <c r="H50" s="7"/>
      <c r="I50" s="7"/>
      <c r="J50" s="7"/>
      <c r="K50" s="7"/>
      <c r="L50" s="7">
        <v>26</v>
      </c>
      <c r="M50" s="7" t="s">
        <v>34</v>
      </c>
      <c r="N50" s="7">
        <v>791.44</v>
      </c>
      <c r="O50" s="7" t="s">
        <v>260</v>
      </c>
      <c r="P50" s="7"/>
      <c r="Q50" s="7">
        <v>171</v>
      </c>
      <c r="R50" s="7" t="s">
        <v>278</v>
      </c>
      <c r="S50" s="7" t="s">
        <v>279</v>
      </c>
      <c r="T50" s="7" t="s">
        <v>263</v>
      </c>
    </row>
    <row r="51" spans="1:20" x14ac:dyDescent="0.2">
      <c r="A51" s="6"/>
      <c r="B51" s="7" t="s">
        <v>125</v>
      </c>
      <c r="C51" s="7" t="s">
        <v>31</v>
      </c>
      <c r="D51" s="7">
        <v>13</v>
      </c>
      <c r="E51" s="7">
        <v>12</v>
      </c>
      <c r="F51" s="7" t="s">
        <v>32</v>
      </c>
      <c r="G51" s="7"/>
      <c r="H51" s="7"/>
      <c r="I51" s="7"/>
      <c r="J51" s="7"/>
      <c r="K51" s="7"/>
      <c r="L51" s="7">
        <v>26</v>
      </c>
      <c r="M51" s="7" t="s">
        <v>34</v>
      </c>
      <c r="N51" s="7">
        <v>791.44</v>
      </c>
      <c r="O51" s="7" t="s">
        <v>264</v>
      </c>
      <c r="P51" s="7"/>
      <c r="Q51" s="7">
        <v>92</v>
      </c>
      <c r="R51" s="7" t="s">
        <v>280</v>
      </c>
      <c r="S51" s="7" t="s">
        <v>281</v>
      </c>
      <c r="T51" s="7" t="s">
        <v>267</v>
      </c>
    </row>
    <row r="52" spans="1:20" x14ac:dyDescent="0.2">
      <c r="A52" s="6"/>
      <c r="B52" s="7" t="s">
        <v>125</v>
      </c>
      <c r="C52" s="7" t="s">
        <v>31</v>
      </c>
      <c r="D52" s="7">
        <v>16.100000000000001</v>
      </c>
      <c r="E52" s="7">
        <v>46</v>
      </c>
      <c r="F52" s="7" t="s">
        <v>32</v>
      </c>
      <c r="G52" s="7"/>
      <c r="H52" s="7"/>
      <c r="I52" s="7"/>
      <c r="J52" s="7"/>
      <c r="K52" s="7"/>
      <c r="L52" s="7">
        <v>26</v>
      </c>
      <c r="M52" s="7" t="s">
        <v>34</v>
      </c>
      <c r="N52" s="7">
        <v>791.44</v>
      </c>
      <c r="O52" s="7" t="s">
        <v>268</v>
      </c>
      <c r="P52" s="7"/>
      <c r="Q52" s="7">
        <v>286</v>
      </c>
      <c r="R52" s="7" t="s">
        <v>282</v>
      </c>
      <c r="S52" s="7" t="s">
        <v>283</v>
      </c>
      <c r="T52" s="7" t="s">
        <v>271</v>
      </c>
    </row>
    <row r="53" spans="1:20" x14ac:dyDescent="0.2">
      <c r="A53" s="6"/>
      <c r="B53" s="7" t="s">
        <v>284</v>
      </c>
      <c r="C53" s="7" t="s">
        <v>31</v>
      </c>
      <c r="D53" s="7">
        <v>1.6</v>
      </c>
      <c r="E53" s="7">
        <v>9</v>
      </c>
      <c r="F53" s="7" t="s">
        <v>32</v>
      </c>
      <c r="G53" s="7"/>
      <c r="H53" s="7"/>
      <c r="I53" s="7"/>
      <c r="J53" s="7"/>
      <c r="K53" s="7"/>
      <c r="L53" s="7">
        <v>26</v>
      </c>
      <c r="M53" s="7" t="s">
        <v>34</v>
      </c>
      <c r="N53" s="7">
        <v>791.44</v>
      </c>
      <c r="O53" s="7" t="s">
        <v>285</v>
      </c>
      <c r="P53" s="7"/>
      <c r="Q53" s="7">
        <v>549</v>
      </c>
      <c r="R53" s="7" t="s">
        <v>286</v>
      </c>
      <c r="S53" s="7" t="s">
        <v>287</v>
      </c>
      <c r="T53" s="7" t="s">
        <v>288</v>
      </c>
    </row>
    <row r="54" spans="1:20" x14ac:dyDescent="0.2">
      <c r="A54" s="8" t="s">
        <v>289</v>
      </c>
      <c r="B54" s="9" t="s">
        <v>290</v>
      </c>
      <c r="C54" s="9" t="s">
        <v>104</v>
      </c>
      <c r="D54" s="9">
        <v>127</v>
      </c>
      <c r="E54" s="9"/>
      <c r="F54" s="9" t="s">
        <v>291</v>
      </c>
      <c r="G54" s="9"/>
      <c r="H54" s="9"/>
      <c r="I54" s="9"/>
      <c r="J54" s="9"/>
      <c r="K54" s="9"/>
      <c r="L54" s="9"/>
      <c r="M54" s="9"/>
      <c r="N54" s="9"/>
      <c r="O54" s="9" t="s">
        <v>292</v>
      </c>
      <c r="P54" s="9"/>
      <c r="Q54" s="9">
        <v>1</v>
      </c>
      <c r="R54" s="9" t="s">
        <v>293</v>
      </c>
      <c r="S54" s="9" t="s">
        <v>294</v>
      </c>
      <c r="T54" s="9" t="s">
        <v>295</v>
      </c>
    </row>
    <row r="55" spans="1:20" x14ac:dyDescent="0.2">
      <c r="A55" s="8"/>
      <c r="B55" s="9" t="s">
        <v>296</v>
      </c>
      <c r="C55" s="9" t="s">
        <v>104</v>
      </c>
      <c r="D55" s="9">
        <v>1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 t="s">
        <v>292</v>
      </c>
      <c r="P55" s="9"/>
      <c r="Q55" s="9">
        <v>1</v>
      </c>
      <c r="R55" s="9" t="s">
        <v>297</v>
      </c>
      <c r="S55" s="9" t="s">
        <v>298</v>
      </c>
      <c r="T55" s="9" t="s">
        <v>295</v>
      </c>
    </row>
    <row r="56" spans="1:20" x14ac:dyDescent="0.2">
      <c r="A56" s="8"/>
      <c r="B56" s="9" t="s">
        <v>299</v>
      </c>
      <c r="C56" s="9" t="s">
        <v>104</v>
      </c>
      <c r="D56" s="9">
        <v>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 t="s">
        <v>292</v>
      </c>
      <c r="P56" s="9"/>
      <c r="Q56" s="9">
        <v>1</v>
      </c>
      <c r="R56" s="9" t="s">
        <v>300</v>
      </c>
      <c r="S56" s="9" t="s">
        <v>301</v>
      </c>
      <c r="T56" s="9" t="s">
        <v>295</v>
      </c>
    </row>
    <row r="57" spans="1:20" x14ac:dyDescent="0.2">
      <c r="A57" s="6" t="s">
        <v>40</v>
      </c>
      <c r="B57" s="7" t="s">
        <v>113</v>
      </c>
      <c r="C57" s="7" t="s">
        <v>31</v>
      </c>
      <c r="D57" s="7">
        <v>0.8</v>
      </c>
      <c r="E57" s="7"/>
      <c r="F57" s="7" t="s">
        <v>32</v>
      </c>
      <c r="G57" s="7"/>
      <c r="H57" s="7"/>
      <c r="I57" s="7"/>
      <c r="J57" s="7" t="s">
        <v>24</v>
      </c>
      <c r="K57" s="7">
        <v>0.89100000000000001</v>
      </c>
      <c r="L57" s="7">
        <v>12</v>
      </c>
      <c r="M57" s="7" t="s">
        <v>34</v>
      </c>
      <c r="N57" s="7">
        <v>365</v>
      </c>
      <c r="O57" s="7" t="s">
        <v>41</v>
      </c>
      <c r="P57" s="7" t="s">
        <v>42</v>
      </c>
      <c r="Q57" s="7">
        <v>413</v>
      </c>
      <c r="R57" s="7" t="s">
        <v>302</v>
      </c>
      <c r="S57" s="7" t="s">
        <v>303</v>
      </c>
      <c r="T57" s="7" t="s">
        <v>304</v>
      </c>
    </row>
    <row r="58" spans="1:20" x14ac:dyDescent="0.2">
      <c r="A58" s="6"/>
      <c r="B58" s="7" t="s">
        <v>113</v>
      </c>
      <c r="C58" s="7" t="s">
        <v>31</v>
      </c>
      <c r="D58" s="7">
        <v>0.9</v>
      </c>
      <c r="E58" s="7"/>
      <c r="F58" s="7" t="s">
        <v>32</v>
      </c>
      <c r="G58" s="7"/>
      <c r="H58" s="7"/>
      <c r="I58" s="7"/>
      <c r="J58" s="7" t="s">
        <v>24</v>
      </c>
      <c r="K58" s="7">
        <v>0.89100000000000001</v>
      </c>
      <c r="L58" s="7">
        <v>12</v>
      </c>
      <c r="M58" s="7" t="s">
        <v>34</v>
      </c>
      <c r="N58" s="7">
        <v>365</v>
      </c>
      <c r="O58" s="7" t="s">
        <v>42</v>
      </c>
      <c r="P58" s="7" t="s">
        <v>41</v>
      </c>
      <c r="Q58" s="7">
        <v>230</v>
      </c>
      <c r="R58" s="7" t="s">
        <v>302</v>
      </c>
      <c r="S58" s="7" t="s">
        <v>305</v>
      </c>
      <c r="T58" s="7" t="s">
        <v>306</v>
      </c>
    </row>
    <row r="59" spans="1:20" x14ac:dyDescent="0.2">
      <c r="A59" s="6"/>
      <c r="B59" s="7" t="s">
        <v>21</v>
      </c>
      <c r="C59" s="7" t="s">
        <v>31</v>
      </c>
      <c r="D59" s="7">
        <v>1.5</v>
      </c>
      <c r="E59" s="7">
        <v>6</v>
      </c>
      <c r="F59" s="7" t="s">
        <v>32</v>
      </c>
      <c r="G59" s="7"/>
      <c r="H59" s="7"/>
      <c r="I59" s="7"/>
      <c r="J59" s="7" t="s">
        <v>24</v>
      </c>
      <c r="K59" s="7">
        <v>0.56100000000000005</v>
      </c>
      <c r="L59" s="7">
        <v>12</v>
      </c>
      <c r="M59" s="7" t="s">
        <v>34</v>
      </c>
      <c r="N59" s="7">
        <v>365</v>
      </c>
      <c r="O59" s="7" t="s">
        <v>41</v>
      </c>
      <c r="P59" s="7" t="s">
        <v>42</v>
      </c>
      <c r="Q59" s="7">
        <v>413</v>
      </c>
      <c r="R59" s="7" t="s">
        <v>307</v>
      </c>
      <c r="S59" s="7" t="s">
        <v>308</v>
      </c>
      <c r="T59" s="7" t="s">
        <v>304</v>
      </c>
    </row>
    <row r="60" spans="1:20" x14ac:dyDescent="0.2">
      <c r="A60" s="6"/>
      <c r="B60" s="7" t="s">
        <v>21</v>
      </c>
      <c r="C60" s="7" t="s">
        <v>31</v>
      </c>
      <c r="D60" s="7">
        <v>2.2000000000000002</v>
      </c>
      <c r="E60" s="7">
        <v>5</v>
      </c>
      <c r="F60" s="7" t="s">
        <v>32</v>
      </c>
      <c r="G60" s="7"/>
      <c r="H60" s="7"/>
      <c r="I60" s="7"/>
      <c r="J60" s="7" t="s">
        <v>24</v>
      </c>
      <c r="K60" s="7">
        <v>0.56100000000000005</v>
      </c>
      <c r="L60" s="7">
        <v>12</v>
      </c>
      <c r="M60" s="7" t="s">
        <v>34</v>
      </c>
      <c r="N60" s="7">
        <v>365</v>
      </c>
      <c r="O60" s="7" t="s">
        <v>42</v>
      </c>
      <c r="P60" s="7" t="s">
        <v>41</v>
      </c>
      <c r="Q60" s="7">
        <v>230</v>
      </c>
      <c r="R60" s="7" t="s">
        <v>307</v>
      </c>
      <c r="S60" s="7" t="s">
        <v>309</v>
      </c>
      <c r="T60" s="7" t="s">
        <v>306</v>
      </c>
    </row>
  </sheetData>
  <mergeCells count="9">
    <mergeCell ref="A44:A53"/>
    <mergeCell ref="A54:A56"/>
    <mergeCell ref="A57:A60"/>
    <mergeCell ref="A2:A8"/>
    <mergeCell ref="A9:A16"/>
    <mergeCell ref="A17:A23"/>
    <mergeCell ref="A24:A29"/>
    <mergeCell ref="A30:A38"/>
    <mergeCell ref="A39:A43"/>
  </mergeCells>
  <dataValidations count="4">
    <dataValidation type="list" allowBlank="1" sqref="M2" xr:uid="{159E9315-DB6A-6943-8246-D66BEA6C585A}">
      <formula1>"DAYS,WEEKS,MONTHS,YEARS,HOURS,PROCEDURE"</formula1>
    </dataValidation>
    <dataValidation type="list" allowBlank="1" sqref="J2:J3" xr:uid="{D0BE2615-2F9A-FD47-AE9B-A2DB170010DF}">
      <formula1>"&lt;,=,&gt;,≤,≥,NS"</formula1>
    </dataValidation>
    <dataValidation type="list" allowBlank="1" sqref="G2:G3" xr:uid="{0FCADE19-0B4A-DB44-B530-A8E580430E80}">
      <formula1>"SD,SE,CI_95,CI_90,CI_99,IQR,RANGE"</formula1>
    </dataValidation>
    <dataValidation type="list" allowBlank="1" sqref="C2:C3" xr:uid="{4D8416B7-AE24-1B45-9045-BC4EA008E906}">
      <formula1>"MEAN,MEDIAN,HR,HAZARD_RATIO,OR,ODDS_RATIO,RR,RISK_RATIO,COUNT,PERCENT,RATE,AUC,CMAX,TMAX,CHANGE_FROM_BASELINE,DIFFERENCE,ABSOLUTE_RISK_REDUCTION,NNT"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cols>
    <col min="1" max="1" width="130" customWidth="1"/>
  </cols>
  <sheetData>
    <row r="1" spans="1:1" ht="19" x14ac:dyDescent="0.25">
      <c r="A1" s="5" t="s">
        <v>76</v>
      </c>
    </row>
    <row r="3" spans="1:1" x14ac:dyDescent="0.2">
      <c r="A3" t="s">
        <v>77</v>
      </c>
    </row>
    <row r="4" spans="1:1" x14ac:dyDescent="0.2">
      <c r="A4" t="s">
        <v>78</v>
      </c>
    </row>
    <row r="5" spans="1:1" x14ac:dyDescent="0.2">
      <c r="A5" t="s">
        <v>79</v>
      </c>
    </row>
    <row r="6" spans="1:1" x14ac:dyDescent="0.2">
      <c r="A6" t="s">
        <v>80</v>
      </c>
    </row>
    <row r="7" spans="1:1" x14ac:dyDescent="0.2">
      <c r="A7" t="s">
        <v>81</v>
      </c>
    </row>
    <row r="8" spans="1:1" x14ac:dyDescent="0.2">
      <c r="A8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12" customWidth="1"/>
    <col min="4" max="4" width="18" customWidth="1"/>
  </cols>
  <sheetData>
    <row r="1" spans="1:4" x14ac:dyDescent="0.2">
      <c r="A1" s="3" t="s">
        <v>2</v>
      </c>
      <c r="B1" s="3" t="s">
        <v>6</v>
      </c>
      <c r="C1" s="3" t="s">
        <v>9</v>
      </c>
      <c r="D1" s="3" t="s">
        <v>12</v>
      </c>
    </row>
    <row r="2" spans="1:4" x14ac:dyDescent="0.2">
      <c r="A2" t="s">
        <v>83</v>
      </c>
      <c r="B2" t="s">
        <v>84</v>
      </c>
      <c r="C2" t="s">
        <v>33</v>
      </c>
      <c r="D2" t="s">
        <v>85</v>
      </c>
    </row>
    <row r="3" spans="1:4" x14ac:dyDescent="0.2">
      <c r="A3" t="s">
        <v>86</v>
      </c>
      <c r="B3" t="s">
        <v>87</v>
      </c>
      <c r="C3" t="s">
        <v>24</v>
      </c>
      <c r="D3" t="s">
        <v>88</v>
      </c>
    </row>
    <row r="4" spans="1:4" x14ac:dyDescent="0.2">
      <c r="A4" t="s">
        <v>89</v>
      </c>
      <c r="B4" t="s">
        <v>23</v>
      </c>
      <c r="C4" t="s">
        <v>90</v>
      </c>
      <c r="D4" t="s">
        <v>34</v>
      </c>
    </row>
    <row r="5" spans="1:4" x14ac:dyDescent="0.2">
      <c r="A5" t="s">
        <v>91</v>
      </c>
      <c r="B5" t="s">
        <v>92</v>
      </c>
      <c r="C5" t="s">
        <v>93</v>
      </c>
      <c r="D5" t="s">
        <v>49</v>
      </c>
    </row>
    <row r="6" spans="1:4" x14ac:dyDescent="0.2">
      <c r="A6" t="s">
        <v>22</v>
      </c>
      <c r="B6" t="s">
        <v>94</v>
      </c>
      <c r="C6" t="s">
        <v>95</v>
      </c>
      <c r="D6" t="s">
        <v>96</v>
      </c>
    </row>
    <row r="7" spans="1:4" x14ac:dyDescent="0.2">
      <c r="A7" t="s">
        <v>97</v>
      </c>
      <c r="B7" t="s">
        <v>98</v>
      </c>
      <c r="C7" t="s">
        <v>99</v>
      </c>
      <c r="D7" t="s">
        <v>100</v>
      </c>
    </row>
    <row r="8" spans="1:4" x14ac:dyDescent="0.2">
      <c r="A8" t="s">
        <v>101</v>
      </c>
      <c r="B8" t="s">
        <v>102</v>
      </c>
    </row>
    <row r="9" spans="1:4" x14ac:dyDescent="0.2">
      <c r="A9" t="s">
        <v>103</v>
      </c>
    </row>
    <row r="10" spans="1:4" x14ac:dyDescent="0.2">
      <c r="A10" t="s">
        <v>104</v>
      </c>
    </row>
    <row r="11" spans="1:4" x14ac:dyDescent="0.2">
      <c r="A11" t="s">
        <v>31</v>
      </c>
    </row>
    <row r="12" spans="1:4" x14ac:dyDescent="0.2">
      <c r="A12" t="s">
        <v>105</v>
      </c>
    </row>
    <row r="13" spans="1:4" x14ac:dyDescent="0.2">
      <c r="A13" t="s">
        <v>106</v>
      </c>
    </row>
    <row r="14" spans="1:4" x14ac:dyDescent="0.2">
      <c r="A14" t="s">
        <v>107</v>
      </c>
    </row>
    <row r="15" spans="1:4" x14ac:dyDescent="0.2">
      <c r="A15" t="s">
        <v>108</v>
      </c>
    </row>
    <row r="16" spans="1:4" x14ac:dyDescent="0.2">
      <c r="A16" t="s">
        <v>109</v>
      </c>
    </row>
    <row r="17" spans="1:1" x14ac:dyDescent="0.2">
      <c r="A17" t="s">
        <v>110</v>
      </c>
    </row>
    <row r="18" spans="1:1" x14ac:dyDescent="0.2">
      <c r="A18" t="s">
        <v>111</v>
      </c>
    </row>
    <row r="19" spans="1:1" x14ac:dyDescent="0.2">
      <c r="A19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ExpectedRows</vt:lpstr>
      <vt:lpstr>all_pdfs_outcome_measures</vt:lpstr>
      <vt:lpstr>Instructions</vt:lpstr>
      <vt:lpstr>ValueOptions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Džana Bašić</cp:lastModifiedBy>
  <dcterms:created xsi:type="dcterms:W3CDTF">2026-03-26T14:14:02Z</dcterms:created>
  <dcterms:modified xsi:type="dcterms:W3CDTF">2026-04-06T20:52:30Z</dcterms:modified>
</cp:coreProperties>
</file>